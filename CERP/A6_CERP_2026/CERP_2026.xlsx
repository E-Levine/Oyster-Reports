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rica.Williams\Documents\GitHub\Oyster-Reports\CERP\A6_CERP_2026\"/>
    </mc:Choice>
  </mc:AlternateContent>
  <xr:revisionPtr revIDLastSave="0" documentId="13_ncr:1_{D6860410-CF36-46E5-A097-17F595A04CCA}" xr6:coauthVersionLast="47" xr6:coauthVersionMax="47" xr10:uidLastSave="{00000000-0000-0000-0000-000000000000}"/>
  <bookViews>
    <workbookView xWindow="-108" yWindow="-108" windowWidth="23256" windowHeight="12456" firstSheet="1" activeTab="7" xr2:uid="{00000000-000D-0000-FFFF-FFFF00000000}"/>
  </bookViews>
  <sheets>
    <sheet name="Live" sheetId="13" r:id="rId1"/>
    <sheet name="Dead Ratio" sheetId="14" r:id="rId2"/>
    <sheet name="Density_data" sheetId="7" r:id="rId3"/>
    <sheet name="SH" sheetId="15" r:id="rId4"/>
    <sheet name="SH_data" sheetId="8" r:id="rId5"/>
    <sheet name="DermoPrev" sheetId="17" r:id="rId6"/>
    <sheet name="DermoInt" sheetId="16" r:id="rId7"/>
    <sheet name="Dermo_data" sheetId="9" r:id="rId8"/>
    <sheet name="Rcrt" sheetId="18" r:id="rId9"/>
    <sheet name="Rcrt_data" sheetId="11" r:id="rId10"/>
    <sheet name="Repro_data" sheetId="10" r:id="rId11"/>
    <sheet name="Cage_data" sheetId="12" r:id="rId12"/>
    <sheet name="Salinity" sheetId="19" r:id="rId13"/>
    <sheet name="Salinity_data" sheetId="2" r:id="rId14"/>
    <sheet name="Flow" sheetId="20" r:id="rId15"/>
    <sheet name="Flow_data" sheetId="1" r:id="rId16"/>
    <sheet name="Temp_data" sheetId="4" r:id="rId17"/>
    <sheet name="DO_data" sheetId="6" r:id="rId18"/>
    <sheet name="pH_data" sheetId="5" r:id="rId19"/>
    <sheet name="Secchi_data" sheetId="3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2" i="2" l="1"/>
  <c r="AB13" i="2"/>
  <c r="AB3" i="2"/>
  <c r="AB4" i="2"/>
  <c r="AB5" i="2"/>
  <c r="AB6" i="2"/>
  <c r="AB7" i="2"/>
  <c r="AB8" i="2"/>
  <c r="AB9" i="2"/>
  <c r="AB10" i="2"/>
  <c r="AB11" i="2"/>
  <c r="AB2" i="2"/>
  <c r="AA21" i="12"/>
  <c r="AA20" i="12"/>
  <c r="AA19" i="12"/>
  <c r="T21" i="12"/>
  <c r="T20" i="12"/>
  <c r="T19" i="12"/>
  <c r="M21" i="12"/>
  <c r="M20" i="12"/>
  <c r="M19" i="12"/>
  <c r="F21" i="12"/>
  <c r="F20" i="12"/>
  <c r="F19" i="12"/>
  <c r="G31" i="11"/>
  <c r="H31" i="11"/>
  <c r="I31" i="11"/>
  <c r="J31" i="11"/>
  <c r="K31" i="11"/>
  <c r="G32" i="11"/>
  <c r="H32" i="11"/>
  <c r="I32" i="11"/>
  <c r="J32" i="11"/>
  <c r="K32" i="11"/>
  <c r="G33" i="11"/>
  <c r="H33" i="11"/>
  <c r="I33" i="11"/>
  <c r="J33" i="11"/>
  <c r="K33" i="11"/>
  <c r="G34" i="11"/>
  <c r="H34" i="11"/>
  <c r="I34" i="11"/>
  <c r="J34" i="11"/>
  <c r="K34" i="11"/>
  <c r="G35" i="11"/>
  <c r="H35" i="11"/>
  <c r="I35" i="11"/>
  <c r="J35" i="11"/>
  <c r="K35" i="11"/>
  <c r="G36" i="11"/>
  <c r="H36" i="11"/>
  <c r="I36" i="11"/>
  <c r="J36" i="11"/>
  <c r="K36" i="11"/>
  <c r="G37" i="11"/>
  <c r="H37" i="11"/>
  <c r="I37" i="11"/>
  <c r="J37" i="11"/>
  <c r="K37" i="11"/>
  <c r="G38" i="11"/>
  <c r="H38" i="11"/>
  <c r="I38" i="11"/>
  <c r="J38" i="11"/>
  <c r="K38" i="11"/>
  <c r="G39" i="11"/>
  <c r="H39" i="11"/>
  <c r="I39" i="11"/>
  <c r="J39" i="11"/>
  <c r="K39" i="11"/>
  <c r="G40" i="11"/>
  <c r="H40" i="11"/>
  <c r="I40" i="11"/>
  <c r="J40" i="11"/>
  <c r="K40" i="11"/>
  <c r="G41" i="11"/>
  <c r="H41" i="11"/>
  <c r="I41" i="11"/>
  <c r="J41" i="11"/>
  <c r="K41" i="11"/>
  <c r="G30" i="11"/>
  <c r="H30" i="11"/>
  <c r="I30" i="11"/>
  <c r="J30" i="11"/>
  <c r="K30" i="11"/>
  <c r="F31" i="11"/>
  <c r="F32" i="11"/>
  <c r="F33" i="11"/>
  <c r="F34" i="11"/>
  <c r="F35" i="11"/>
  <c r="F36" i="11"/>
  <c r="F37" i="11"/>
  <c r="F38" i="11"/>
  <c r="F39" i="11"/>
  <c r="F40" i="11"/>
  <c r="F41" i="11"/>
  <c r="F30" i="11"/>
  <c r="E31" i="11"/>
  <c r="E32" i="11"/>
  <c r="E33" i="11"/>
  <c r="E34" i="11"/>
  <c r="E35" i="11"/>
  <c r="E36" i="11"/>
  <c r="E37" i="11"/>
  <c r="E38" i="11"/>
  <c r="E39" i="11"/>
  <c r="E40" i="11"/>
  <c r="E41" i="11"/>
  <c r="E30" i="11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C15" i="9"/>
  <c r="D41" i="9"/>
  <c r="E41" i="9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C41" i="9"/>
  <c r="R40" i="9"/>
  <c r="I40" i="9"/>
  <c r="C40" i="9"/>
  <c r="Q55" i="1" l="1"/>
  <c r="R55" i="1"/>
  <c r="Q56" i="1"/>
  <c r="R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R54" i="1"/>
  <c r="Q54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4" i="1"/>
  <c r="S1" i="1"/>
  <c r="Q1" i="1"/>
  <c r="D63" i="1"/>
  <c r="P27" i="1"/>
  <c r="I27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3" i="1"/>
  <c r="R1" i="1"/>
  <c r="K1" i="1"/>
  <c r="E1" i="1"/>
</calcChain>
</file>

<file path=xl/sharedStrings.xml><?xml version="1.0" encoding="utf-8"?>
<sst xmlns="http://schemas.openxmlformats.org/spreadsheetml/2006/main" count="4436" uniqueCount="569">
  <si>
    <t>Estuary</t>
  </si>
  <si>
    <t>Year</t>
  </si>
  <si>
    <t>Min</t>
  </si>
  <si>
    <t>Max</t>
  </si>
  <si>
    <t>Mean</t>
  </si>
  <si>
    <t>SL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</si>
  <si>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</si>
  <si>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</si>
  <si>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</si>
  <si>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</si>
  <si>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</si>
  <si>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</si>
  <si>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</si>
  <si>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</si>
  <si>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</si>
  <si>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</si>
  <si>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</si>
  <si>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</si>
  <si>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</si>
  <si>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</si>
  <si>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</si>
  <si>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</si>
  <si>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</si>
  <si>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</si>
  <si>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</si>
  <si>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</si>
  <si>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</si>
  <si>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</si>
  <si>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LX</t>
  </si>
  <si>
    <t>CR</t>
  </si>
  <si>
    <t>LXN</t>
  </si>
  <si>
    <t>LXS</t>
  </si>
  <si>
    <t>LX.N_RetDate_Sal</t>
  </si>
  <si>
    <t>LX.N1_Sal</t>
  </si>
  <si>
    <t>LX.N2_Sal</t>
  </si>
  <si>
    <t>LX.N3_Sal</t>
  </si>
  <si>
    <t>LX.S_RetDate_Sal</t>
  </si>
  <si>
    <t>LX.S1_Sal</t>
  </si>
  <si>
    <t>LX.S2_Sal</t>
  </si>
  <si>
    <t>LX.S3_Sal</t>
  </si>
  <si>
    <t>SL.C_RetDate_Sal</t>
  </si>
  <si>
    <t>SL.C1_Sal</t>
  </si>
  <si>
    <t>SL.C2_Sal</t>
  </si>
  <si>
    <t>SL.C3_Sal</t>
  </si>
  <si>
    <t>SL.N_RetDate_Sal</t>
  </si>
  <si>
    <t>SL.N1_Sal</t>
  </si>
  <si>
    <t>SL.N2_Sal</t>
  </si>
  <si>
    <t>SL.N3_Sal</t>
  </si>
  <si>
    <t>SL.S_RetDate_Sal</t>
  </si>
  <si>
    <t>SL.S1_Sal</t>
  </si>
  <si>
    <t>SL.S2_Sal</t>
  </si>
  <si>
    <t>SL.S3_Sal</t>
  </si>
  <si>
    <t>CR.E_RetDate_Sal</t>
  </si>
  <si>
    <t>CR.E1_Sal</t>
  </si>
  <si>
    <t>CR.E2_Sal</t>
  </si>
  <si>
    <t>CR.W_RetDate_Sal</t>
  </si>
  <si>
    <t>CR.W3_Sal</t>
  </si>
  <si>
    <t>CR.W4_Sal</t>
  </si>
  <si>
    <t>Summ</t>
  </si>
  <si>
    <t>CRE</t>
  </si>
  <si>
    <t>CRW</t>
  </si>
  <si>
    <t>SLC</t>
  </si>
  <si>
    <t>SLN</t>
  </si>
  <si>
    <t>SLS</t>
  </si>
  <si>
    <t>LX.N_RetDate_SP</t>
  </si>
  <si>
    <t>LX.N1_SP</t>
  </si>
  <si>
    <t>LX.N2_SP</t>
  </si>
  <si>
    <t>LX.N3_SP</t>
  </si>
  <si>
    <t>LX.S_RetDate_SP</t>
  </si>
  <si>
    <t>LX.S1_SP</t>
  </si>
  <si>
    <t>LX.S2_SP</t>
  </si>
  <si>
    <t>LX.S3_SP</t>
  </si>
  <si>
    <t>SL.C_RetDate_SP</t>
  </si>
  <si>
    <t>SL.C1_SP</t>
  </si>
  <si>
    <t>SL.C2_SP</t>
  </si>
  <si>
    <t>SL.C3_SP</t>
  </si>
  <si>
    <t>SL.N_RetDate_SP</t>
  </si>
  <si>
    <t>SL.N1_SP</t>
  </si>
  <si>
    <t>SL.N2_SP</t>
  </si>
  <si>
    <t>SL.N3_SP</t>
  </si>
  <si>
    <t>SL.S_RetDate_SP</t>
  </si>
  <si>
    <t>SL.S1_SP</t>
  </si>
  <si>
    <t>SL.S2_SP</t>
  </si>
  <si>
    <t>SL.S3_SP</t>
  </si>
  <si>
    <t>CR.E_RetDate_SP</t>
  </si>
  <si>
    <t>CR.E1_SP</t>
  </si>
  <si>
    <t>CR.E2_SP</t>
  </si>
  <si>
    <t>CR.W_RetDate_SP</t>
  </si>
  <si>
    <t>CR.W3_SP</t>
  </si>
  <si>
    <t>CR.W4_SP</t>
  </si>
  <si>
    <t>LX.N_RetDate_Temp</t>
  </si>
  <si>
    <t>LX.N1_Temp</t>
  </si>
  <si>
    <t>LX.N2_Temp</t>
  </si>
  <si>
    <t>LX.N3_Temp</t>
  </si>
  <si>
    <t>LX.S_RetDate_Temp</t>
  </si>
  <si>
    <t>LX.S1_Temp</t>
  </si>
  <si>
    <t>LX.S2_Temp</t>
  </si>
  <si>
    <t>LX.S3_Temp</t>
  </si>
  <si>
    <t>SL.C_RetDate_Temp</t>
  </si>
  <si>
    <t>SL.C1_Temp</t>
  </si>
  <si>
    <t>SL.C2_Temp</t>
  </si>
  <si>
    <t>SL.C3_Temp</t>
  </si>
  <si>
    <t>SL.N_RetDate_Temp</t>
  </si>
  <si>
    <t>SL.N1_Temp</t>
  </si>
  <si>
    <t>SL.N2_Temp</t>
  </si>
  <si>
    <t>SL.N3_Temp</t>
  </si>
  <si>
    <t>SL.S_RetDate_Temp</t>
  </si>
  <si>
    <t>SL.S1_Temp</t>
  </si>
  <si>
    <t>SL.S2_Temp</t>
  </si>
  <si>
    <t>SL.S3_Temp</t>
  </si>
  <si>
    <t>CR.E_RetDate_Temp</t>
  </si>
  <si>
    <t>CR.E1_Temp</t>
  </si>
  <si>
    <t>CR.E2_Temp</t>
  </si>
  <si>
    <t>CR.W_RetDate_Temp</t>
  </si>
  <si>
    <t>CR.W3_Temp</t>
  </si>
  <si>
    <t>CR.W4_Temp</t>
  </si>
  <si>
    <t>LX.N_RetDate_pH</t>
  </si>
  <si>
    <t>LX.N1_pH</t>
  </si>
  <si>
    <t>LX.N2_pH</t>
  </si>
  <si>
    <t>LX.N3_pH</t>
  </si>
  <si>
    <t>LX.S_RetDate_pH</t>
  </si>
  <si>
    <t>LX.S1_pH</t>
  </si>
  <si>
    <t>LX.S2_pH</t>
  </si>
  <si>
    <t>LX.S3_pH</t>
  </si>
  <si>
    <t>SL.C_RetDate_pH</t>
  </si>
  <si>
    <t>SL.C1_pH</t>
  </si>
  <si>
    <t>SL.C2_pH</t>
  </si>
  <si>
    <t>SL.C3_pH</t>
  </si>
  <si>
    <t>SL.N_RetDate_pH</t>
  </si>
  <si>
    <t>SL.N1_pH</t>
  </si>
  <si>
    <t>SL.N2_pH</t>
  </si>
  <si>
    <t>SL.N3_pH</t>
  </si>
  <si>
    <t>SL.S_RetDate_pH</t>
  </si>
  <si>
    <t>SL.S1_pH</t>
  </si>
  <si>
    <t>SL.S2_pH</t>
  </si>
  <si>
    <t>SL.S3_pH</t>
  </si>
  <si>
    <t>CR.E_RetDate_pH</t>
  </si>
  <si>
    <t>CR.E1_pH</t>
  </si>
  <si>
    <t>CR.E2_pH</t>
  </si>
  <si>
    <t>CR.W_RetDate_pH</t>
  </si>
  <si>
    <t>CR.W3_pH</t>
  </si>
  <si>
    <t>CR.W4_pH</t>
  </si>
  <si>
    <t>LX.N_RetDate_DO</t>
  </si>
  <si>
    <t>LX.N1_DO</t>
  </si>
  <si>
    <t>LX.N2_DO</t>
  </si>
  <si>
    <t>LX.N3_DO</t>
  </si>
  <si>
    <t>LX.S_RetDate_DO</t>
  </si>
  <si>
    <t>LX.S1_DO</t>
  </si>
  <si>
    <t>LX.S2_DO</t>
  </si>
  <si>
    <t>LX.S3_DO</t>
  </si>
  <si>
    <t>SL.C_RetDate_DO</t>
  </si>
  <si>
    <t>SL.C1_DO</t>
  </si>
  <si>
    <t>SL.C2_DO</t>
  </si>
  <si>
    <t>SL.C3_DO</t>
  </si>
  <si>
    <t>SL.N_RetDate_DO</t>
  </si>
  <si>
    <t>SL.N1_DO</t>
  </si>
  <si>
    <t>SL.N2_DO</t>
  </si>
  <si>
    <t>SL.N3_DO</t>
  </si>
  <si>
    <t>SL.S_RetDate_DO</t>
  </si>
  <si>
    <t>SL.S1_DO</t>
  </si>
  <si>
    <t>SL.S2_DO</t>
  </si>
  <si>
    <t>SL.S3_DO</t>
  </si>
  <si>
    <t>CR.E_RetDate_DO</t>
  </si>
  <si>
    <t>CR.E1_DO</t>
  </si>
  <si>
    <t>CR.E2_DO</t>
  </si>
  <si>
    <t>CR.W_RetDate_DO</t>
  </si>
  <si>
    <t>CR.W3_DO</t>
  </si>
  <si>
    <t>CR.W4_DO</t>
  </si>
  <si>
    <t>Survey</t>
  </si>
  <si>
    <t>AnalysisDate</t>
  </si>
  <si>
    <t>LX.N1_LiveMean</t>
  </si>
  <si>
    <t>LX.N2_LiveMean</t>
  </si>
  <si>
    <t>LX.N3_LiveMean</t>
  </si>
  <si>
    <t>LX.S1_LiveMean</t>
  </si>
  <si>
    <t>LX.S2_LiveMean</t>
  </si>
  <si>
    <t>LX.S3_LiveMean</t>
  </si>
  <si>
    <t>SL.C1_LiveMean</t>
  </si>
  <si>
    <t>SL.C2_LiveMean</t>
  </si>
  <si>
    <t>SL.C3_LiveMean</t>
  </si>
  <si>
    <t>SL.N1_LiveMean</t>
  </si>
  <si>
    <t>SL.N2_LiveMean</t>
  </si>
  <si>
    <t>SL.N3_LiveMean</t>
  </si>
  <si>
    <t>SL.S1_LiveMean</t>
  </si>
  <si>
    <t>SL.S2_LiveMean</t>
  </si>
  <si>
    <t>SL.S3_LiveMean</t>
  </si>
  <si>
    <t>CR.E1_LiveMean</t>
  </si>
  <si>
    <t>CR.E2_LiveMean</t>
  </si>
  <si>
    <t>CR.W3_LiveMean</t>
  </si>
  <si>
    <t>CR.W4_LiveMean</t>
  </si>
  <si>
    <t>Winter 2024</t>
  </si>
  <si>
    <t>Dec 2024</t>
  </si>
  <si>
    <t>Spring 2025</t>
  </si>
  <si>
    <t>Mar 2025</t>
  </si>
  <si>
    <t>Summer 2025</t>
  </si>
  <si>
    <t>Jun 2025</t>
  </si>
  <si>
    <t>Fall 2025</t>
  </si>
  <si>
    <t>Sep 2025</t>
  </si>
  <si>
    <t>Season</t>
  </si>
  <si>
    <t>Fall</t>
  </si>
  <si>
    <t>Spring</t>
  </si>
  <si>
    <t>LX.N1_DeadRatioMean</t>
  </si>
  <si>
    <t>LX.N2_DeadRatioMean</t>
  </si>
  <si>
    <t>LX.N3_DeadRatioMean</t>
  </si>
  <si>
    <t>LX.S1_DeadRatioMean</t>
  </si>
  <si>
    <t>LX.S2_DeadRatioMean</t>
  </si>
  <si>
    <t>LX.S3_DeadRatioMean</t>
  </si>
  <si>
    <t>SL.C1_DeadRatioMean</t>
  </si>
  <si>
    <t>SL.C2_DeadRatioMean</t>
  </si>
  <si>
    <t>SL.C3_DeadRatioMean</t>
  </si>
  <si>
    <t>SL.N1_DeadRatioMean</t>
  </si>
  <si>
    <t>SL.N2_DeadRatioMean</t>
  </si>
  <si>
    <t>SL.N3_DeadRatioMean</t>
  </si>
  <si>
    <t>SL.S1_DeadRatioMean</t>
  </si>
  <si>
    <t>SL.S2_DeadRatioMean</t>
  </si>
  <si>
    <t>SL.S3_DeadRatioMean</t>
  </si>
  <si>
    <t>CR.E1_DeadRatioMean</t>
  </si>
  <si>
    <t>CR.E2_DeadRatioMean</t>
  </si>
  <si>
    <t>CR.W3_DeadRatioMean</t>
  </si>
  <si>
    <t>CR.W4_DeadRatioMean</t>
  </si>
  <si>
    <t>LX.N1_SHMean</t>
  </si>
  <si>
    <t>LX.N2_SHMean</t>
  </si>
  <si>
    <t>LX.N3_SHMean</t>
  </si>
  <si>
    <t>LX.S1_SHMean</t>
  </si>
  <si>
    <t>LX.S2_SHMean</t>
  </si>
  <si>
    <t>LX.S3_SHMean</t>
  </si>
  <si>
    <t>SL.C1_SHMean</t>
  </si>
  <si>
    <t>SL.C2_SHMean</t>
  </si>
  <si>
    <t>SL.C3_SHMean</t>
  </si>
  <si>
    <t>SL.N1_SHMean</t>
  </si>
  <si>
    <t>SL.N2_SHMean</t>
  </si>
  <si>
    <t>SL.N3_SHMean</t>
  </si>
  <si>
    <t>SL.S1_SHMean</t>
  </si>
  <si>
    <t>SL.S2_SHMean</t>
  </si>
  <si>
    <t>SL.S3_SHMean</t>
  </si>
  <si>
    <t>CR.E1_SHMean</t>
  </si>
  <si>
    <t>CR.E2_SHMean</t>
  </si>
  <si>
    <t>CR.W3_SHMean</t>
  </si>
  <si>
    <t>CR.W4_SHMean</t>
  </si>
  <si>
    <t>RetDate</t>
  </si>
  <si>
    <t>LX.N1_Mean</t>
  </si>
  <si>
    <t>LX.N2_Mean</t>
  </si>
  <si>
    <t>LX.N3_Mean</t>
  </si>
  <si>
    <t>LX.S1_Mean</t>
  </si>
  <si>
    <t>LX.S2_Mean</t>
  </si>
  <si>
    <t>LX.S3_Mean</t>
  </si>
  <si>
    <t>SL.C1_Mean</t>
  </si>
  <si>
    <t>SL.C2_Mean</t>
  </si>
  <si>
    <t>SL.C3_Mean</t>
  </si>
  <si>
    <t>SL.N1_Mean</t>
  </si>
  <si>
    <t>SL.N2_Mean</t>
  </si>
  <si>
    <t>SL.N3_Mean</t>
  </si>
  <si>
    <t>SL.S1_Mean</t>
  </si>
  <si>
    <t>SL.S2_Mean</t>
  </si>
  <si>
    <t>SL.S3_Mean</t>
  </si>
  <si>
    <t>CR.E1_Mean</t>
  </si>
  <si>
    <t>CR.E2_Mean</t>
  </si>
  <si>
    <t>CR.W3_Mean</t>
  </si>
  <si>
    <t>CR.W4_Mean</t>
  </si>
  <si>
    <t>Oct 2024</t>
  </si>
  <si>
    <t>Nov 2024</t>
  </si>
  <si>
    <t>Jan 2025</t>
  </si>
  <si>
    <t>Feb 2025</t>
  </si>
  <si>
    <t>Apr 2025</t>
  </si>
  <si>
    <t>May 2025</t>
  </si>
  <si>
    <t>Jul 2025</t>
  </si>
  <si>
    <t>Aug 2025</t>
  </si>
  <si>
    <t>LX.N1_Pct</t>
  </si>
  <si>
    <t>LX.N2_Pct</t>
  </si>
  <si>
    <t>LX.N3_Pct</t>
  </si>
  <si>
    <t>LX.S1_Pct</t>
  </si>
  <si>
    <t>LX.S2_Pct</t>
  </si>
  <si>
    <t>LX.S3_Pct</t>
  </si>
  <si>
    <t>SL.C1_Pct</t>
  </si>
  <si>
    <t>SL.C2_Pct</t>
  </si>
  <si>
    <t>SL.C3_Pct</t>
  </si>
  <si>
    <t>SL.N1_Pct</t>
  </si>
  <si>
    <t>SL.N2_Pct</t>
  </si>
  <si>
    <t>SL.N3_Pct</t>
  </si>
  <si>
    <t>SL.S1_Pct</t>
  </si>
  <si>
    <t>SL.S2_Pct</t>
  </si>
  <si>
    <t>SL.S3_Pct</t>
  </si>
  <si>
    <t>CR.E1_Pct</t>
  </si>
  <si>
    <t>CR.E2_Pct</t>
  </si>
  <si>
    <t>CR.W3_Pct</t>
  </si>
  <si>
    <t>CR.W4_Pct</t>
  </si>
  <si>
    <t>LX.N_Ind</t>
  </si>
  <si>
    <t>LX.N_Dev</t>
  </si>
  <si>
    <t>LX.N_Rip</t>
  </si>
  <si>
    <t>LX.N_Spe</t>
  </si>
  <si>
    <t>LX.S_Ind</t>
  </si>
  <si>
    <t>LX.S_Dev</t>
  </si>
  <si>
    <t>LX.S_Rip</t>
  </si>
  <si>
    <t>LX.S_Spe</t>
  </si>
  <si>
    <t>SL.C_Ind</t>
  </si>
  <si>
    <t>SL.C_Dev</t>
  </si>
  <si>
    <t>SL.C_Rip</t>
  </si>
  <si>
    <t>SL.C_Spe</t>
  </si>
  <si>
    <t>SL.N_Ind</t>
  </si>
  <si>
    <t>SL.N_Dev</t>
  </si>
  <si>
    <t>SL.N_Rip</t>
  </si>
  <si>
    <t>SL.N_Spe</t>
  </si>
  <si>
    <t>SL.S_Ind</t>
  </si>
  <si>
    <t>SL.S_Dev</t>
  </si>
  <si>
    <t>SL.S_Rip</t>
  </si>
  <si>
    <t>SL.S_Spe</t>
  </si>
  <si>
    <t>CR.E_Ind</t>
  </si>
  <si>
    <t>CR.E_Dev</t>
  </si>
  <si>
    <t>CR.E_Rip</t>
  </si>
  <si>
    <t>CR.E_Spe</t>
  </si>
  <si>
    <t>CR.W_Ind</t>
  </si>
  <si>
    <t>CR.W_Dev</t>
  </si>
  <si>
    <t>CR.W_Rip</t>
  </si>
  <si>
    <t>CR.W_Spe</t>
  </si>
  <si>
    <t>LX.N_RetDate</t>
  </si>
  <si>
    <t>LX.N1_SD</t>
  </si>
  <si>
    <t>LX.N2_SD</t>
  </si>
  <si>
    <t>LX.N3_SD</t>
  </si>
  <si>
    <t>LX.S_RetDate</t>
  </si>
  <si>
    <t>LX.S1_SD</t>
  </si>
  <si>
    <t>LX.S2_SD</t>
  </si>
  <si>
    <t>LX.S3_SD</t>
  </si>
  <si>
    <t>SL.C_RetDate</t>
  </si>
  <si>
    <t>SL.C1_SD</t>
  </si>
  <si>
    <t>SL.C2_SD</t>
  </si>
  <si>
    <t>SL.C3_SD</t>
  </si>
  <si>
    <t>SL.N_RetDate</t>
  </si>
  <si>
    <t>SL.N1_SD</t>
  </si>
  <si>
    <t>SL.N2_SD</t>
  </si>
  <si>
    <t>SL.N3_SD</t>
  </si>
  <si>
    <t>SL.S_RetDate</t>
  </si>
  <si>
    <t>SL.S1_SD</t>
  </si>
  <si>
    <t>SL.S2_SD</t>
  </si>
  <si>
    <t>SL.S3_SD</t>
  </si>
  <si>
    <t>CR.E_RetDate</t>
  </si>
  <si>
    <t>CR.E1_SD</t>
  </si>
  <si>
    <t>CR.E2_SD</t>
  </si>
  <si>
    <t>CR.W_RetDate</t>
  </si>
  <si>
    <t>CR.W3_SD</t>
  </si>
  <si>
    <t>CR.W4_SD</t>
  </si>
  <si>
    <t>Site</t>
  </si>
  <si>
    <t>Dep</t>
  </si>
  <si>
    <t>Ret</t>
  </si>
  <si>
    <t>Growth</t>
  </si>
  <si>
    <t>MeanPct</t>
  </si>
  <si>
    <t>Sep 2024</t>
  </si>
  <si>
    <t>Effect</t>
  </si>
  <si>
    <t>Num DF</t>
  </si>
  <si>
    <t>Den Df</t>
  </si>
  <si>
    <t>F values</t>
  </si>
  <si>
    <t>Pr(&gt;F)</t>
  </si>
  <si>
    <t>SurvCode</t>
  </si>
  <si>
    <t>Site:SurvCode</t>
  </si>
  <si>
    <t>Estimate</t>
  </si>
  <si>
    <t>SE</t>
  </si>
  <si>
    <t>t Value</t>
  </si>
  <si>
    <t>Pr &gt; [t]</t>
  </si>
  <si>
    <t>SE Mean</t>
  </si>
  <si>
    <t>Group</t>
  </si>
  <si>
    <t>CR-E</t>
  </si>
  <si>
    <t xml:space="preserve">   c  </t>
  </si>
  <si>
    <t>CR-W</t>
  </si>
  <si>
    <t xml:space="preserve">   cd </t>
  </si>
  <si>
    <t>LX-N</t>
  </si>
  <si>
    <t xml:space="preserve">     e</t>
  </si>
  <si>
    <t>LX-S</t>
  </si>
  <si>
    <t xml:space="preserve">  b   </t>
  </si>
  <si>
    <t>SL-C</t>
  </si>
  <si>
    <t xml:space="preserve">    de</t>
  </si>
  <si>
    <t>SL-N</t>
  </si>
  <si>
    <t xml:space="preserve"> ab   </t>
  </si>
  <si>
    <t>SL-S</t>
  </si>
  <si>
    <t xml:space="preserve"> a    </t>
  </si>
  <si>
    <t>1</t>
  </si>
  <si>
    <t>2</t>
  </si>
  <si>
    <t xml:space="preserve">    def</t>
  </si>
  <si>
    <t xml:space="preserve">     ef</t>
  </si>
  <si>
    <t xml:space="preserve">   cd  </t>
  </si>
  <si>
    <t xml:space="preserve">    de </t>
  </si>
  <si>
    <t xml:space="preserve">  b    </t>
  </si>
  <si>
    <t xml:space="preserve"> a     </t>
  </si>
  <si>
    <t xml:space="preserve">   cde </t>
  </si>
  <si>
    <t xml:space="preserve">  bc   </t>
  </si>
  <si>
    <t xml:space="preserve">      f</t>
  </si>
  <si>
    <t>df1</t>
  </si>
  <si>
    <t>df2</t>
  </si>
  <si>
    <t>F.ratio</t>
  </si>
  <si>
    <t>Chisq</t>
  </si>
  <si>
    <t>p.value</t>
  </si>
  <si>
    <t xml:space="preserve"> ab</t>
  </si>
  <si>
    <t xml:space="preserve">  b</t>
  </si>
  <si>
    <t xml:space="preserve"> a </t>
  </si>
  <si>
    <t xml:space="preserve"> abc</t>
  </si>
  <si>
    <t xml:space="preserve">  bc</t>
  </si>
  <si>
    <t xml:space="preserve">   c</t>
  </si>
  <si>
    <t xml:space="preserve"> ab </t>
  </si>
  <si>
    <t xml:space="preserve"> a  </t>
  </si>
  <si>
    <t xml:space="preserve">    d</t>
  </si>
  <si>
    <t xml:space="preserve"> a   </t>
  </si>
  <si>
    <t xml:space="preserve"> ab  </t>
  </si>
  <si>
    <t xml:space="preserve">  bc </t>
  </si>
  <si>
    <t xml:space="preserve">   cd</t>
  </si>
  <si>
    <t xml:space="preserve">   cdef </t>
  </si>
  <si>
    <t xml:space="preserve"> abc    </t>
  </si>
  <si>
    <t xml:space="preserve">    def </t>
  </si>
  <si>
    <t xml:space="preserve">     efg</t>
  </si>
  <si>
    <t xml:space="preserve">       g</t>
  </si>
  <si>
    <t xml:space="preserve">      fg</t>
  </si>
  <si>
    <t xml:space="preserve"> a      </t>
  </si>
  <si>
    <t xml:space="preserve"> ab     </t>
  </si>
  <si>
    <t xml:space="preserve">   cde  </t>
  </si>
  <si>
    <t xml:space="preserve">  bcd   </t>
  </si>
  <si>
    <t>Site:AnalysisDate</t>
  </si>
  <si>
    <t>2024-10-15</t>
  </si>
  <si>
    <t>2024-11-15</t>
  </si>
  <si>
    <t>2024-12-15</t>
  </si>
  <si>
    <t>2025-01-15</t>
  </si>
  <si>
    <t>2025-02-15</t>
  </si>
  <si>
    <t>2025-03-15</t>
  </si>
  <si>
    <t>2025-04-15</t>
  </si>
  <si>
    <t>2025-05-15</t>
  </si>
  <si>
    <t>2025-06-15</t>
  </si>
  <si>
    <t>2025-07-15</t>
  </si>
  <si>
    <t>2025-08-15</t>
  </si>
  <si>
    <t>2025-09-15</t>
  </si>
  <si>
    <t xml:space="preserve"> a</t>
  </si>
  <si>
    <t xml:space="preserve"> abcdefgh        </t>
  </si>
  <si>
    <t xml:space="preserve">         ijklmno </t>
  </si>
  <si>
    <t xml:space="preserve"> abcdef          </t>
  </si>
  <si>
    <t xml:space="preserve"> abcd            </t>
  </si>
  <si>
    <t xml:space="preserve"> abc             </t>
  </si>
  <si>
    <t xml:space="preserve"> abcdefghijklmnop</t>
  </si>
  <si>
    <t xml:space="preserve">               op</t>
  </si>
  <si>
    <t xml:space="preserve">                p</t>
  </si>
  <si>
    <t xml:space="preserve"> abcdefghijklmno </t>
  </si>
  <si>
    <t xml:space="preserve"> ab              </t>
  </si>
  <si>
    <t xml:space="preserve"> abcde           </t>
  </si>
  <si>
    <t xml:space="preserve"> a               </t>
  </si>
  <si>
    <t xml:space="preserve"> abcdefghij      </t>
  </si>
  <si>
    <t xml:space="preserve">          jklmno </t>
  </si>
  <si>
    <t xml:space="preserve"> abcdefghi       </t>
  </si>
  <si>
    <t xml:space="preserve">        hijklmno </t>
  </si>
  <si>
    <t xml:space="preserve">   cdefghijklm   </t>
  </si>
  <si>
    <t xml:space="preserve">             mnop</t>
  </si>
  <si>
    <t xml:space="preserve">              nop</t>
  </si>
  <si>
    <t xml:space="preserve">  bcdefghijkl    </t>
  </si>
  <si>
    <t xml:space="preserve">   cdefghijk     </t>
  </si>
  <si>
    <t xml:space="preserve"> abcdefg         </t>
  </si>
  <si>
    <t xml:space="preserve">           klmnop</t>
  </si>
  <si>
    <t xml:space="preserve">           klmno </t>
  </si>
  <si>
    <t xml:space="preserve">     efghijklm   </t>
  </si>
  <si>
    <t xml:space="preserve">    defghijklmn  </t>
  </si>
  <si>
    <t xml:space="preserve">       ghijklmno </t>
  </si>
  <si>
    <t xml:space="preserve">            lmnop</t>
  </si>
  <si>
    <t xml:space="preserve">      fghijklmn  </t>
  </si>
  <si>
    <t xml:space="preserve">   c </t>
  </si>
  <si>
    <t xml:space="preserve">  b  </t>
  </si>
  <si>
    <t xml:space="preserve"> abcdefghijklmnopqr  </t>
  </si>
  <si>
    <t xml:space="preserve">          jklmnopqrst</t>
  </si>
  <si>
    <t xml:space="preserve"> abcdef              </t>
  </si>
  <si>
    <t xml:space="preserve">    defghijklmnopqrs </t>
  </si>
  <si>
    <t xml:space="preserve"> abcdefg             </t>
  </si>
  <si>
    <t xml:space="preserve"> a                   </t>
  </si>
  <si>
    <t xml:space="preserve"> ab                  </t>
  </si>
  <si>
    <t xml:space="preserve">    defghijklmnopqrst</t>
  </si>
  <si>
    <t xml:space="preserve">            lmnopqrst</t>
  </si>
  <si>
    <t xml:space="preserve"> abcdefgh            </t>
  </si>
  <si>
    <t xml:space="preserve"> abcdefghijklmnop    </t>
  </si>
  <si>
    <t xml:space="preserve"> abc                 </t>
  </si>
  <si>
    <t xml:space="preserve"> abcd                </t>
  </si>
  <si>
    <t xml:space="preserve">     efghijklmnopqrst</t>
  </si>
  <si>
    <t xml:space="preserve">             mnopqrst</t>
  </si>
  <si>
    <t xml:space="preserve">                 qrst</t>
  </si>
  <si>
    <t xml:space="preserve">       ghijklmnopqrst</t>
  </si>
  <si>
    <t xml:space="preserve">     efghijklmnopqrs </t>
  </si>
  <si>
    <t xml:space="preserve">   cdefghijklmnopqrs </t>
  </si>
  <si>
    <t xml:space="preserve">        hijklmnopqrst</t>
  </si>
  <si>
    <t xml:space="preserve">                  rst</t>
  </si>
  <si>
    <t xml:space="preserve"> abcdefghijklm       </t>
  </si>
  <si>
    <t xml:space="preserve"> abcdefghi           </t>
  </si>
  <si>
    <t xml:space="preserve">  bcdefghijklmnopqrst</t>
  </si>
  <si>
    <t xml:space="preserve">         ijklmnopqrst</t>
  </si>
  <si>
    <t xml:space="preserve">                   st</t>
  </si>
  <si>
    <t xml:space="preserve"> abcdefghijklmnopqrs </t>
  </si>
  <si>
    <t xml:space="preserve">           klmnopqrst</t>
  </si>
  <si>
    <t xml:space="preserve">               opqrst</t>
  </si>
  <si>
    <t xml:space="preserve"> abcdefghij          </t>
  </si>
  <si>
    <t xml:space="preserve">                pqrst</t>
  </si>
  <si>
    <t xml:space="preserve">      fghijklmnopqrst</t>
  </si>
  <si>
    <t xml:space="preserve">              nopqrst</t>
  </si>
  <si>
    <t xml:space="preserve"> abcdefghijkl        </t>
  </si>
  <si>
    <t xml:space="preserve"> abcdefghijklmno     </t>
  </si>
  <si>
    <t xml:space="preserve">                    t</t>
  </si>
  <si>
    <t xml:space="preserve">  bcdefghijklmnopqr  </t>
  </si>
  <si>
    <t xml:space="preserve"> abcdefghijklmn      </t>
  </si>
  <si>
    <t xml:space="preserve"> abcde               </t>
  </si>
  <si>
    <t xml:space="preserve"> abcdefghijk         </t>
  </si>
  <si>
    <t xml:space="preserve"> abcdefghijklmnopq   </t>
  </si>
  <si>
    <t>Site:Year</t>
  </si>
  <si>
    <t xml:space="preserve">  b </t>
  </si>
  <si>
    <t xml:space="preserve">         i </t>
  </si>
  <si>
    <t xml:space="preserve">          j</t>
  </si>
  <si>
    <t xml:space="preserve">  bc       </t>
  </si>
  <si>
    <t xml:space="preserve"> a         </t>
  </si>
  <si>
    <t xml:space="preserve">     ef    </t>
  </si>
  <si>
    <t xml:space="preserve">     efg   </t>
  </si>
  <si>
    <t xml:space="preserve"> ab        </t>
  </si>
  <si>
    <t xml:space="preserve">      fgh  </t>
  </si>
  <si>
    <t xml:space="preserve">    de     </t>
  </si>
  <si>
    <t xml:space="preserve">   cd      </t>
  </si>
  <si>
    <t xml:space="preserve">       gh  </t>
  </si>
  <si>
    <t xml:space="preserve">        h  </t>
  </si>
  <si>
    <t xml:space="preserve">                          zazbzczdzezf  </t>
  </si>
  <si>
    <t xml:space="preserve">     ef                                 </t>
  </si>
  <si>
    <t xml:space="preserve">                       wxyzazbzc        </t>
  </si>
  <si>
    <t xml:space="preserve">                                      zg</t>
  </si>
  <si>
    <t xml:space="preserve">     efg                                </t>
  </si>
  <si>
    <t xml:space="preserve">                            zbzczdzezf  </t>
  </si>
  <si>
    <t xml:space="preserve">                   stuvwx               </t>
  </si>
  <si>
    <t xml:space="preserve">  bc                                    </t>
  </si>
  <si>
    <t xml:space="preserve">           klmn                         </t>
  </si>
  <si>
    <t xml:space="preserve">      fgh                               </t>
  </si>
  <si>
    <t xml:space="preserve">     e                                  </t>
  </si>
  <si>
    <t xml:space="preserve">    d                                   </t>
  </si>
  <si>
    <t xml:space="preserve">               opqrs                    </t>
  </si>
  <si>
    <t xml:space="preserve">                  rstuvw                </t>
  </si>
  <si>
    <t xml:space="preserve"> a                                      </t>
  </si>
  <si>
    <t xml:space="preserve">                        xyzazbzc        </t>
  </si>
  <si>
    <t xml:space="preserve">               opqr                     </t>
  </si>
  <si>
    <t xml:space="preserve">  b                                     </t>
  </si>
  <si>
    <t xml:space="preserve">                     uvwxy              </t>
  </si>
  <si>
    <t xml:space="preserve">             mnopq                      </t>
  </si>
  <si>
    <t xml:space="preserve">                                zdzezfzg</t>
  </si>
  <si>
    <t xml:space="preserve">                    tuvwxy              </t>
  </si>
  <si>
    <t xml:space="preserve">   cd                                   </t>
  </si>
  <si>
    <t xml:space="preserve">             mnop                       </t>
  </si>
  <si>
    <t xml:space="preserve">                      vwxyza            </t>
  </si>
  <si>
    <t xml:space="preserve">              nopq                      </t>
  </si>
  <si>
    <t xml:space="preserve">                                    zfzg</t>
  </si>
  <si>
    <t xml:space="preserve">                                  zezfzg</t>
  </si>
  <si>
    <t xml:space="preserve">        hi                              </t>
  </si>
  <si>
    <t xml:space="preserve">                       wxyzazb          </t>
  </si>
  <si>
    <t xml:space="preserve">                         yzazbzczdze    </t>
  </si>
  <si>
    <t xml:space="preserve">        hij                             </t>
  </si>
  <si>
    <t xml:space="preserve">                pqrstu                  </t>
  </si>
  <si>
    <t xml:space="preserve">       ghi                              </t>
  </si>
  <si>
    <t xml:space="preserve">           kl                           </t>
  </si>
  <si>
    <t xml:space="preserve">         ijk                            </t>
  </si>
  <si>
    <t xml:space="preserve">                 qrstuv                 </t>
  </si>
  <si>
    <t xml:space="preserve">           klm                          </t>
  </si>
  <si>
    <t xml:space="preserve">                        xyzazbzczd      </t>
  </si>
  <si>
    <t xml:space="preserve">          jkl                           </t>
  </si>
  <si>
    <t xml:space="preserve">                              zczdzezf  </t>
  </si>
  <si>
    <t xml:space="preserve">               opqrst                   </t>
  </si>
  <si>
    <t xml:space="preserve">            lmno                        </t>
  </si>
  <si>
    <t>ALL SITES</t>
  </si>
  <si>
    <t>Analysis_date</t>
  </si>
  <si>
    <t>Analysis_Date</t>
  </si>
  <si>
    <t>Ave Growth</t>
  </si>
  <si>
    <t>&lt;227</t>
  </si>
  <si>
    <t>&gt;2177</t>
  </si>
  <si>
    <t>30-34</t>
  </si>
  <si>
    <t>30-33</t>
  </si>
  <si>
    <t>29-31</t>
  </si>
  <si>
    <t>29-30</t>
  </si>
  <si>
    <t>30-31</t>
  </si>
  <si>
    <t>30-32</t>
  </si>
  <si>
    <t>31-32</t>
  </si>
  <si>
    <t>31-33</t>
  </si>
  <si>
    <t>30-30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</si>
</sst>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8" tint="-0.249977111117893"/>
      <name val="Calibri"/>
      <family val="2"/>
    </font>
    <font>
      <sz val="11"/>
      <color theme="8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b/>
      <strike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14" fontId="1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/>
    <xf numFmtId="0" fontId="0" fillId="0" borderId="0" xfId="0" quotePrefix="1"/>
    <xf numFmtId="14" fontId="6" fillId="0" borderId="0" xfId="0" applyNumberFormat="1" applyFont="1"/>
    <xf numFmtId="0" fontId="7" fillId="0" borderId="0" xfId="0" applyFont="1"/>
    <xf numFmtId="164" fontId="0" fillId="0" borderId="0" xfId="0" applyNumberFormat="1"/>
    <xf numFmtId="2" fontId="3" fillId="0" borderId="0" xfId="0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164" fontId="0" fillId="2" borderId="0" xfId="0" applyNumberFormat="1" applyFill="1"/>
    <xf numFmtId="0" fontId="0" fillId="2" borderId="0" xfId="0" applyFill="1"/>
    <xf numFmtId="2" fontId="8" fillId="0" borderId="0" xfId="0" applyNumberFormat="1" applyFont="1"/>
    <xf numFmtId="0" fontId="10" fillId="0" borderId="0" xfId="0" applyFont="1"/>
    <xf numFmtId="164" fontId="10" fillId="2" borderId="0" xfId="0" applyNumberFormat="1" applyFont="1" applyFill="1"/>
    <xf numFmtId="2" fontId="10" fillId="0" borderId="0" xfId="0" applyNumberFormat="1" applyFont="1"/>
    <xf numFmtId="164" fontId="11" fillId="0" borderId="0" xfId="0" applyNumberFormat="1" applyFont="1"/>
    <xf numFmtId="0" fontId="8" fillId="2" borderId="0" xfId="0" applyFont="1" applyFill="1"/>
    <xf numFmtId="0" fontId="0" fillId="3" borderId="0" xfId="0" applyFill="1"/>
  </cellXfs>
  <cellStyles count="1">
    <cellStyle name="Normal" xfId="0" builtinId="0"/>
  </cellStyles>
  <dxfs count="31">
    <dxf>
      <fill>
        <patternFill>
          <bgColor theme="6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FF0000"/>
      </font>
    </dxf>
    <dxf>
      <fill>
        <patternFill>
          <bgColor theme="6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FF0000"/>
      </font>
    </dxf>
    <dxf>
      <font>
        <b/>
        <i val="0"/>
        <color theme="6"/>
      </font>
    </dxf>
    <dxf>
      <font>
        <color rgb="FFFF0000"/>
      </font>
      <fill>
        <patternFill patternType="none">
          <bgColor auto="1"/>
        </patternFill>
      </fill>
    </dxf>
    <dxf>
      <fill>
        <patternFill>
          <bgColor theme="6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4:N40"/>
  <sheetViews>
    <sheetView workbookViewId="0">
      <selection activeCell="A37" activeCellId="1" sqref="A30:I30 A37:I37"/>
    </sheetView>
  </sheetViews>
  <sheetFormatPr defaultColWidth="11.44140625" defaultRowHeight="14.4" x14ac:dyDescent="0.3"/>
  <sheetData>
    <row r="4" spans="1:12" x14ac:dyDescent="0.3">
      <c r="A4" s="2" t="s">
        <v>345</v>
      </c>
      <c r="B4" s="2" t="s">
        <v>346</v>
      </c>
      <c r="C4" s="2" t="s">
        <v>347</v>
      </c>
      <c r="D4" s="2" t="s">
        <v>348</v>
      </c>
      <c r="E4" s="2" t="s">
        <v>349</v>
      </c>
    </row>
    <row r="5" spans="1:12" x14ac:dyDescent="0.3">
      <c r="A5" t="s">
        <v>339</v>
      </c>
      <c r="B5">
        <v>6</v>
      </c>
      <c r="C5">
        <v>556</v>
      </c>
      <c r="D5">
        <v>35.740403407512296</v>
      </c>
      <c r="E5">
        <v>1.2763344723406401E-36</v>
      </c>
    </row>
    <row r="6" spans="1:12" x14ac:dyDescent="0.3">
      <c r="A6" t="s">
        <v>350</v>
      </c>
      <c r="B6">
        <v>1</v>
      </c>
      <c r="C6">
        <v>556</v>
      </c>
      <c r="D6">
        <v>3.3285012000507299</v>
      </c>
      <c r="E6">
        <v>6.8625423660049006E-2</v>
      </c>
    </row>
    <row r="7" spans="1:12" x14ac:dyDescent="0.3">
      <c r="A7" t="s">
        <v>351</v>
      </c>
      <c r="B7">
        <v>6</v>
      </c>
      <c r="C7">
        <v>556</v>
      </c>
      <c r="D7">
        <v>18.8674378551842</v>
      </c>
      <c r="E7">
        <v>4.8869429366000503E-20</v>
      </c>
    </row>
    <row r="10" spans="1:12" x14ac:dyDescent="0.3">
      <c r="A10" s="2" t="s">
        <v>339</v>
      </c>
      <c r="B10" s="2" t="s">
        <v>352</v>
      </c>
      <c r="C10" s="2" t="s">
        <v>353</v>
      </c>
      <c r="D10" s="2" t="s">
        <v>354</v>
      </c>
      <c r="E10" s="2" t="s">
        <v>355</v>
      </c>
      <c r="F10" s="2" t="s">
        <v>4</v>
      </c>
      <c r="G10" s="2" t="s">
        <v>356</v>
      </c>
      <c r="H10" s="2" t="s">
        <v>357</v>
      </c>
      <c r="J10" s="2" t="s">
        <v>339</v>
      </c>
      <c r="K10" s="2" t="s">
        <v>352</v>
      </c>
      <c r="L10" s="2" t="s">
        <v>357</v>
      </c>
    </row>
    <row r="11" spans="1:12" x14ac:dyDescent="0.3">
      <c r="A11" t="s">
        <v>358</v>
      </c>
      <c r="B11">
        <v>5.0829019763051102</v>
      </c>
      <c r="C11">
        <v>0.17670985739415099</v>
      </c>
      <c r="D11">
        <v>28.764111132565201</v>
      </c>
      <c r="E11">
        <v>6.0334408355801695E-182</v>
      </c>
      <c r="F11">
        <v>161.241296061382</v>
      </c>
      <c r="G11">
        <v>28.492926433055001</v>
      </c>
      <c r="H11" t="s">
        <v>359</v>
      </c>
      <c r="J11" t="s">
        <v>362</v>
      </c>
      <c r="K11">
        <v>6.1690514461228201</v>
      </c>
      <c r="L11" t="s">
        <v>363</v>
      </c>
    </row>
    <row r="12" spans="1:12" x14ac:dyDescent="0.3">
      <c r="A12" t="s">
        <v>360</v>
      </c>
      <c r="B12">
        <v>5.33443469807293</v>
      </c>
      <c r="C12">
        <v>0.176634131545963</v>
      </c>
      <c r="D12">
        <v>30.200475136849899</v>
      </c>
      <c r="E12">
        <v>2.33480160942235E-200</v>
      </c>
      <c r="F12">
        <v>207.35549720762501</v>
      </c>
      <c r="G12">
        <v>36.626058170550202</v>
      </c>
      <c r="H12" t="s">
        <v>361</v>
      </c>
      <c r="J12" t="s">
        <v>366</v>
      </c>
      <c r="K12">
        <v>5.8453010885407002</v>
      </c>
      <c r="L12" t="s">
        <v>367</v>
      </c>
    </row>
    <row r="13" spans="1:12" x14ac:dyDescent="0.3">
      <c r="A13" t="s">
        <v>362</v>
      </c>
      <c r="B13">
        <v>6.1690514461228201</v>
      </c>
      <c r="C13">
        <v>0.14411379452251399</v>
      </c>
      <c r="D13">
        <v>42.806807402181597</v>
      </c>
      <c r="E13">
        <v>0</v>
      </c>
      <c r="F13">
        <v>477.73273586135502</v>
      </c>
      <c r="G13">
        <v>68.847877332601698</v>
      </c>
      <c r="H13" t="s">
        <v>363</v>
      </c>
      <c r="J13" t="s">
        <v>360</v>
      </c>
      <c r="K13">
        <v>5.33443469807293</v>
      </c>
      <c r="L13" t="s">
        <v>361</v>
      </c>
    </row>
    <row r="14" spans="1:12" x14ac:dyDescent="0.3">
      <c r="A14" t="s">
        <v>364</v>
      </c>
      <c r="B14">
        <v>4.3845480442453502</v>
      </c>
      <c r="C14">
        <v>0.14452687379481099</v>
      </c>
      <c r="D14">
        <v>30.337250983994899</v>
      </c>
      <c r="E14">
        <v>3.7007623077113299E-202</v>
      </c>
      <c r="F14">
        <v>80.201967279832999</v>
      </c>
      <c r="G14">
        <v>11.591339603148</v>
      </c>
      <c r="H14" t="s">
        <v>365</v>
      </c>
      <c r="J14" t="s">
        <v>358</v>
      </c>
      <c r="K14">
        <v>5.0829019763051102</v>
      </c>
      <c r="L14" t="s">
        <v>359</v>
      </c>
    </row>
    <row r="15" spans="1:12" x14ac:dyDescent="0.3">
      <c r="A15" t="s">
        <v>366</v>
      </c>
      <c r="B15">
        <v>5.8453010885407002</v>
      </c>
      <c r="C15">
        <v>0.14416408340275799</v>
      </c>
      <c r="D15">
        <v>40.546167606881603</v>
      </c>
      <c r="E15">
        <v>0</v>
      </c>
      <c r="F15">
        <v>345.60658429941299</v>
      </c>
      <c r="G15">
        <v>49.824056443483101</v>
      </c>
      <c r="H15" t="s">
        <v>367</v>
      </c>
      <c r="J15" t="s">
        <v>364</v>
      </c>
      <c r="K15">
        <v>4.3845480442453502</v>
      </c>
      <c r="L15" t="s">
        <v>365</v>
      </c>
    </row>
    <row r="16" spans="1:12" x14ac:dyDescent="0.3">
      <c r="A16" t="s">
        <v>368</v>
      </c>
      <c r="B16">
        <v>3.9776589324954901</v>
      </c>
      <c r="C16">
        <v>0.14489644452077199</v>
      </c>
      <c r="D16">
        <v>27.451735932176501</v>
      </c>
      <c r="E16">
        <v>6.6238663446278605E-166</v>
      </c>
      <c r="F16">
        <v>53.3918937759992</v>
      </c>
      <c r="G16">
        <v>7.736295574373</v>
      </c>
      <c r="H16" t="s">
        <v>369</v>
      </c>
      <c r="J16" t="s">
        <v>368</v>
      </c>
      <c r="K16">
        <v>3.9776589324954901</v>
      </c>
      <c r="L16" t="s">
        <v>369</v>
      </c>
    </row>
    <row r="17" spans="1:14" x14ac:dyDescent="0.3">
      <c r="A17" t="s">
        <v>370</v>
      </c>
      <c r="B17">
        <v>3.7125520862385</v>
      </c>
      <c r="C17">
        <v>0.146172342023835</v>
      </c>
      <c r="D17">
        <v>25.398457976633701</v>
      </c>
      <c r="E17">
        <v>2.6227551926273698E-142</v>
      </c>
      <c r="F17">
        <v>40.958202121035598</v>
      </c>
      <c r="G17">
        <v>5.98695632911737</v>
      </c>
      <c r="H17" t="s">
        <v>371</v>
      </c>
      <c r="J17" t="s">
        <v>370</v>
      </c>
      <c r="K17">
        <v>3.7125520862385</v>
      </c>
      <c r="L17" t="s">
        <v>371</v>
      </c>
    </row>
    <row r="21" spans="1:14" x14ac:dyDescent="0.3">
      <c r="A21" s="2" t="s">
        <v>350</v>
      </c>
      <c r="B21" s="2" t="s">
        <v>352</v>
      </c>
      <c r="C21" s="2" t="s">
        <v>353</v>
      </c>
      <c r="D21" s="2" t="s">
        <v>354</v>
      </c>
      <c r="E21" s="2" t="s">
        <v>355</v>
      </c>
      <c r="F21" s="2" t="s">
        <v>4</v>
      </c>
      <c r="G21" s="2" t="s">
        <v>356</v>
      </c>
    </row>
    <row r="22" spans="1:14" x14ac:dyDescent="0.3">
      <c r="A22" t="s">
        <v>372</v>
      </c>
      <c r="B22">
        <v>4.64648154960007</v>
      </c>
      <c r="C22">
        <v>8.2774817655887498E-2</v>
      </c>
      <c r="D22">
        <v>56.133999218415397</v>
      </c>
      <c r="E22">
        <v>0</v>
      </c>
      <c r="F22">
        <v>104.217655088782</v>
      </c>
      <c r="G22">
        <v>8.6265973964981395</v>
      </c>
    </row>
    <row r="23" spans="1:14" x14ac:dyDescent="0.3">
      <c r="A23" t="s">
        <v>373</v>
      </c>
      <c r="B23">
        <v>5.2125036709773296</v>
      </c>
      <c r="C23">
        <v>8.2459363614096406E-2</v>
      </c>
      <c r="D23">
        <v>63.212999015751102</v>
      </c>
      <c r="E23">
        <v>0</v>
      </c>
      <c r="F23">
        <v>183.553039803052</v>
      </c>
      <c r="G23">
        <v>15.1356668515925</v>
      </c>
    </row>
    <row r="26" spans="1:14" x14ac:dyDescent="0.3">
      <c r="A26" s="2" t="s">
        <v>339</v>
      </c>
      <c r="B26" s="2" t="s">
        <v>350</v>
      </c>
      <c r="C26" s="2" t="s">
        <v>352</v>
      </c>
      <c r="D26" s="2" t="s">
        <v>353</v>
      </c>
      <c r="E26" s="2" t="s">
        <v>354</v>
      </c>
      <c r="F26" s="2" t="s">
        <v>355</v>
      </c>
      <c r="G26" s="2" t="s">
        <v>4</v>
      </c>
      <c r="H26" s="2" t="s">
        <v>356</v>
      </c>
      <c r="I26" s="2" t="s">
        <v>357</v>
      </c>
      <c r="K26" s="2" t="s">
        <v>339</v>
      </c>
      <c r="L26" s="2" t="s">
        <v>350</v>
      </c>
      <c r="M26" s="2" t="s">
        <v>352</v>
      </c>
      <c r="N26" s="2" t="s">
        <v>357</v>
      </c>
    </row>
    <row r="27" spans="1:14" x14ac:dyDescent="0.3">
      <c r="A27" t="s">
        <v>358</v>
      </c>
      <c r="B27" t="s">
        <v>372</v>
      </c>
      <c r="C27">
        <v>5.3838832548776496</v>
      </c>
      <c r="D27">
        <v>0.249779066344755</v>
      </c>
      <c r="E27">
        <v>21.554581549466601</v>
      </c>
      <c r="F27">
        <v>4.7958502665276004E-103</v>
      </c>
      <c r="G27">
        <v>217.86666666666</v>
      </c>
      <c r="H27">
        <v>54.418532587642297</v>
      </c>
      <c r="I27" t="s">
        <v>374</v>
      </c>
      <c r="K27" t="s">
        <v>366</v>
      </c>
      <c r="L27" t="s">
        <v>373</v>
      </c>
      <c r="M27">
        <v>6.4275666246780201</v>
      </c>
      <c r="N27" t="s">
        <v>382</v>
      </c>
    </row>
    <row r="28" spans="1:14" x14ac:dyDescent="0.3">
      <c r="A28" t="s">
        <v>360</v>
      </c>
      <c r="B28" t="s">
        <v>372</v>
      </c>
      <c r="C28">
        <v>5.4878351902125804</v>
      </c>
      <c r="D28">
        <v>0.24974882622964401</v>
      </c>
      <c r="E28">
        <v>21.973417345179101</v>
      </c>
      <c r="F28">
        <v>5.1726481020944201E-107</v>
      </c>
      <c r="G28">
        <v>241.73333333333099</v>
      </c>
      <c r="H28">
        <v>60.372616260578802</v>
      </c>
      <c r="I28" t="s">
        <v>374</v>
      </c>
      <c r="K28" t="s">
        <v>362</v>
      </c>
      <c r="L28" t="s">
        <v>373</v>
      </c>
      <c r="M28">
        <v>6.1706329899105201</v>
      </c>
      <c r="N28" t="s">
        <v>375</v>
      </c>
    </row>
    <row r="29" spans="1:14" x14ac:dyDescent="0.3">
      <c r="A29" t="s">
        <v>362</v>
      </c>
      <c r="B29" t="s">
        <v>372</v>
      </c>
      <c r="C29">
        <v>6.1674699023351298</v>
      </c>
      <c r="D29">
        <v>0.203807863220477</v>
      </c>
      <c r="E29">
        <v>30.261197016050499</v>
      </c>
      <c r="F29">
        <v>3.71669415099641E-201</v>
      </c>
      <c r="G29">
        <v>476.97777777777299</v>
      </c>
      <c r="H29">
        <v>97.211821692539402</v>
      </c>
      <c r="I29" t="s">
        <v>375</v>
      </c>
      <c r="K29" t="s">
        <v>362</v>
      </c>
      <c r="L29" t="s">
        <v>372</v>
      </c>
      <c r="M29">
        <v>6.1674699023351298</v>
      </c>
      <c r="N29" t="s">
        <v>375</v>
      </c>
    </row>
    <row r="30" spans="1:14" x14ac:dyDescent="0.3">
      <c r="A30" t="s">
        <v>364</v>
      </c>
      <c r="B30" t="s">
        <v>372</v>
      </c>
      <c r="C30">
        <v>4.6227917873379001</v>
      </c>
      <c r="D30">
        <v>0.20422878367984099</v>
      </c>
      <c r="E30">
        <v>22.63535875817</v>
      </c>
      <c r="F30">
        <v>1.9447541108050901E-113</v>
      </c>
      <c r="G30">
        <v>101.777777777777</v>
      </c>
      <c r="H30">
        <v>20.785951761192599</v>
      </c>
      <c r="I30" t="s">
        <v>376</v>
      </c>
      <c r="K30" t="s">
        <v>360</v>
      </c>
      <c r="L30" t="s">
        <v>372</v>
      </c>
      <c r="M30">
        <v>5.4878351902125804</v>
      </c>
      <c r="N30" t="s">
        <v>374</v>
      </c>
    </row>
    <row r="31" spans="1:14" x14ac:dyDescent="0.3">
      <c r="A31" t="s">
        <v>366</v>
      </c>
      <c r="B31" t="s">
        <v>372</v>
      </c>
      <c r="C31">
        <v>5.2630355524033803</v>
      </c>
      <c r="D31">
        <v>0.203975872987879</v>
      </c>
      <c r="E31">
        <v>25.8022455073211</v>
      </c>
      <c r="F31">
        <v>8.3672287048865504E-147</v>
      </c>
      <c r="G31">
        <v>193.06666666666399</v>
      </c>
      <c r="H31">
        <v>39.380941878192502</v>
      </c>
      <c r="I31" t="s">
        <v>377</v>
      </c>
      <c r="K31" t="s">
        <v>358</v>
      </c>
      <c r="L31" t="s">
        <v>372</v>
      </c>
      <c r="M31">
        <v>5.3838832548776496</v>
      </c>
      <c r="N31" t="s">
        <v>374</v>
      </c>
    </row>
    <row r="32" spans="1:14" x14ac:dyDescent="0.3">
      <c r="A32" t="s">
        <v>368</v>
      </c>
      <c r="B32" t="s">
        <v>372</v>
      </c>
      <c r="C32">
        <v>3.35728419457222</v>
      </c>
      <c r="D32">
        <v>0.20558465234565099</v>
      </c>
      <c r="E32">
        <v>16.3304223163877</v>
      </c>
      <c r="F32">
        <v>5.9967801718188905E-60</v>
      </c>
      <c r="G32">
        <v>28.711111111110799</v>
      </c>
      <c r="H32">
        <v>5.9025637962350697</v>
      </c>
      <c r="I32" t="s">
        <v>378</v>
      </c>
      <c r="K32" t="s">
        <v>366</v>
      </c>
      <c r="L32" t="s">
        <v>372</v>
      </c>
      <c r="M32">
        <v>5.2630355524033803</v>
      </c>
      <c r="N32" t="s">
        <v>377</v>
      </c>
    </row>
    <row r="33" spans="1:14" x14ac:dyDescent="0.3">
      <c r="A33" t="s">
        <v>370</v>
      </c>
      <c r="B33" t="s">
        <v>372</v>
      </c>
      <c r="C33">
        <v>2.2430709654616199</v>
      </c>
      <c r="D33">
        <v>0.20940283197242199</v>
      </c>
      <c r="E33">
        <v>10.711750859974201</v>
      </c>
      <c r="F33">
        <v>8.9650037585905207E-27</v>
      </c>
      <c r="G33">
        <v>9.4222222222220502</v>
      </c>
      <c r="H33">
        <v>1.9730400168067801</v>
      </c>
      <c r="I33" t="s">
        <v>379</v>
      </c>
      <c r="K33" t="s">
        <v>370</v>
      </c>
      <c r="L33" t="s">
        <v>373</v>
      </c>
      <c r="M33">
        <v>5.1820332070153796</v>
      </c>
      <c r="N33" t="s">
        <v>377</v>
      </c>
    </row>
    <row r="34" spans="1:14" x14ac:dyDescent="0.3">
      <c r="A34" t="s">
        <v>358</v>
      </c>
      <c r="B34" t="s">
        <v>373</v>
      </c>
      <c r="C34">
        <v>4.7819206977325699</v>
      </c>
      <c r="D34">
        <v>0.25003182360849202</v>
      </c>
      <c r="E34">
        <v>19.125248253279398</v>
      </c>
      <c r="F34">
        <v>1.5563073987165799E-81</v>
      </c>
      <c r="G34">
        <v>119.333333333331</v>
      </c>
      <c r="H34">
        <v>29.837130950612799</v>
      </c>
      <c r="I34" t="s">
        <v>376</v>
      </c>
      <c r="K34" t="s">
        <v>360</v>
      </c>
      <c r="L34" t="s">
        <v>373</v>
      </c>
      <c r="M34">
        <v>5.1810342059332903</v>
      </c>
      <c r="N34" t="s">
        <v>380</v>
      </c>
    </row>
    <row r="35" spans="1:14" x14ac:dyDescent="0.3">
      <c r="A35" t="s">
        <v>360</v>
      </c>
      <c r="B35" t="s">
        <v>373</v>
      </c>
      <c r="C35">
        <v>5.1810342059332903</v>
      </c>
      <c r="D35">
        <v>0.249847932760911</v>
      </c>
      <c r="E35">
        <v>20.7367503452239</v>
      </c>
      <c r="F35">
        <v>1.6147261761330002E-95</v>
      </c>
      <c r="G35">
        <v>177.866666666664</v>
      </c>
      <c r="H35">
        <v>44.439618973740103</v>
      </c>
      <c r="I35" t="s">
        <v>380</v>
      </c>
      <c r="K35" t="s">
        <v>358</v>
      </c>
      <c r="L35" t="s">
        <v>373</v>
      </c>
      <c r="M35">
        <v>4.7819206977325699</v>
      </c>
      <c r="N35" t="s">
        <v>376</v>
      </c>
    </row>
    <row r="36" spans="1:14" x14ac:dyDescent="0.3">
      <c r="A36" t="s">
        <v>362</v>
      </c>
      <c r="B36" t="s">
        <v>373</v>
      </c>
      <c r="C36">
        <v>6.1706329899105201</v>
      </c>
      <c r="D36">
        <v>0.203807502256941</v>
      </c>
      <c r="E36">
        <v>30.276770587822501</v>
      </c>
      <c r="F36">
        <v>2.3185106619576701E-201</v>
      </c>
      <c r="G36">
        <v>478.48888888888303</v>
      </c>
      <c r="H36">
        <v>97.519625302142003</v>
      </c>
      <c r="I36" t="s">
        <v>375</v>
      </c>
      <c r="K36" t="s">
        <v>364</v>
      </c>
      <c r="L36" t="s">
        <v>372</v>
      </c>
      <c r="M36">
        <v>4.6227917873379001</v>
      </c>
      <c r="N36" t="s">
        <v>376</v>
      </c>
    </row>
    <row r="37" spans="1:14" x14ac:dyDescent="0.3">
      <c r="A37" t="s">
        <v>364</v>
      </c>
      <c r="B37" t="s">
        <v>373</v>
      </c>
      <c r="C37">
        <v>4.1463043011528002</v>
      </c>
      <c r="D37">
        <v>0.204554816399559</v>
      </c>
      <c r="E37">
        <v>20.269893293804301</v>
      </c>
      <c r="F37">
        <v>2.3717050069164501E-91</v>
      </c>
      <c r="G37">
        <v>63.199999999999001</v>
      </c>
      <c r="H37">
        <v>12.927864396452</v>
      </c>
      <c r="I37" t="s">
        <v>381</v>
      </c>
      <c r="K37" t="s">
        <v>368</v>
      </c>
      <c r="L37" t="s">
        <v>373</v>
      </c>
      <c r="M37">
        <v>4.5980336704187597</v>
      </c>
      <c r="N37" t="s">
        <v>376</v>
      </c>
    </row>
    <row r="38" spans="1:14" x14ac:dyDescent="0.3">
      <c r="A38" t="s">
        <v>366</v>
      </c>
      <c r="B38" t="s">
        <v>373</v>
      </c>
      <c r="C38">
        <v>6.4275666246780201</v>
      </c>
      <c r="D38">
        <v>0.203781684683051</v>
      </c>
      <c r="E38">
        <v>31.541434327991901</v>
      </c>
      <c r="F38">
        <v>2.3499980034666901E-218</v>
      </c>
      <c r="G38">
        <v>618.66666666665697</v>
      </c>
      <c r="H38">
        <v>126.07293559057899</v>
      </c>
      <c r="I38" t="s">
        <v>382</v>
      </c>
      <c r="K38" t="s">
        <v>364</v>
      </c>
      <c r="L38" t="s">
        <v>373</v>
      </c>
      <c r="M38">
        <v>4.1463043011528002</v>
      </c>
      <c r="N38" t="s">
        <v>381</v>
      </c>
    </row>
    <row r="39" spans="1:14" x14ac:dyDescent="0.3">
      <c r="A39" t="s">
        <v>368</v>
      </c>
      <c r="B39" t="s">
        <v>373</v>
      </c>
      <c r="C39">
        <v>4.5980336704187597</v>
      </c>
      <c r="D39">
        <v>0.20424218285888401</v>
      </c>
      <c r="E39">
        <v>22.512654369717801</v>
      </c>
      <c r="F39">
        <v>3.1201923813434202E-112</v>
      </c>
      <c r="G39">
        <v>99.288888888887399</v>
      </c>
      <c r="H39">
        <v>20.278979400299601</v>
      </c>
      <c r="I39" t="s">
        <v>376</v>
      </c>
      <c r="K39" t="s">
        <v>368</v>
      </c>
      <c r="L39" t="s">
        <v>372</v>
      </c>
      <c r="M39">
        <v>3.35728419457222</v>
      </c>
      <c r="N39" t="s">
        <v>378</v>
      </c>
    </row>
    <row r="40" spans="1:14" x14ac:dyDescent="0.3">
      <c r="A40" t="s">
        <v>370</v>
      </c>
      <c r="B40" t="s">
        <v>373</v>
      </c>
      <c r="C40">
        <v>5.1820332070153796</v>
      </c>
      <c r="D40">
        <v>0.20399967709009101</v>
      </c>
      <c r="E40">
        <v>25.402163772675301</v>
      </c>
      <c r="F40">
        <v>2.3867952035222199E-142</v>
      </c>
      <c r="G40">
        <v>178.04444444444201</v>
      </c>
      <c r="H40">
        <v>36.321009174350998</v>
      </c>
      <c r="I40" t="s">
        <v>377</v>
      </c>
      <c r="K40" t="s">
        <v>370</v>
      </c>
      <c r="L40" t="s">
        <v>372</v>
      </c>
      <c r="M40">
        <v>2.2430709654616199</v>
      </c>
      <c r="N40" t="s">
        <v>379</v>
      </c>
    </row>
  </sheetData>
  <conditionalFormatting sqref="E5:E7">
    <cfRule type="cellIs" dxfId="30" priority="1" operator="between">
      <formula>0.01</formula>
      <formula>0.05</formula>
    </cfRule>
    <cfRule type="cellIs" dxfId="29" priority="2" operator="between">
      <formula>0.001</formula>
      <formula>0.01</formula>
    </cfRule>
    <cfRule type="cellIs" dxfId="28" priority="3" operator="lessThan">
      <formula>0.001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4:N40"/>
  <sheetViews>
    <sheetView workbookViewId="0">
      <selection activeCell="G5" sqref="G5"/>
    </sheetView>
  </sheetViews>
  <sheetFormatPr defaultColWidth="11.44140625" defaultRowHeight="14.4" x14ac:dyDescent="0.3"/>
  <sheetData>
    <row r="4" spans="1:12" x14ac:dyDescent="0.3">
      <c r="A4" s="2" t="s">
        <v>345</v>
      </c>
      <c r="B4" s="2" t="s">
        <v>383</v>
      </c>
      <c r="C4" s="2" t="s">
        <v>384</v>
      </c>
      <c r="D4" s="2" t="s">
        <v>385</v>
      </c>
      <c r="E4" s="2" t="s">
        <v>386</v>
      </c>
      <c r="F4" s="2" t="s">
        <v>387</v>
      </c>
    </row>
    <row r="5" spans="1:12" x14ac:dyDescent="0.3">
      <c r="A5" t="s">
        <v>339</v>
      </c>
      <c r="B5">
        <v>6</v>
      </c>
      <c r="C5">
        <v>536</v>
      </c>
      <c r="D5">
        <v>2.7149999999999999</v>
      </c>
      <c r="E5">
        <v>16.29</v>
      </c>
      <c r="F5">
        <v>1.22666976406511E-2</v>
      </c>
    </row>
    <row r="6" spans="1:12" x14ac:dyDescent="0.3">
      <c r="A6" t="s">
        <v>350</v>
      </c>
      <c r="B6">
        <v>1</v>
      </c>
      <c r="C6">
        <v>536</v>
      </c>
      <c r="D6">
        <v>15.034000000000001</v>
      </c>
      <c r="E6">
        <v>15.034000000000001</v>
      </c>
      <c r="F6">
        <v>1.0559672683052601E-4</v>
      </c>
    </row>
    <row r="7" spans="1:12" x14ac:dyDescent="0.3">
      <c r="A7" t="s">
        <v>351</v>
      </c>
      <c r="B7">
        <v>6</v>
      </c>
      <c r="C7">
        <v>536</v>
      </c>
      <c r="D7">
        <v>3.1629999999999998</v>
      </c>
      <c r="E7">
        <v>18.978000000000002</v>
      </c>
      <c r="F7">
        <v>4.20063343923416E-3</v>
      </c>
    </row>
    <row r="10" spans="1:12" x14ac:dyDescent="0.3">
      <c r="A10" s="2" t="s">
        <v>339</v>
      </c>
      <c r="B10" s="2" t="s">
        <v>352</v>
      </c>
      <c r="C10" s="2" t="s">
        <v>353</v>
      </c>
      <c r="D10" s="2" t="s">
        <v>354</v>
      </c>
      <c r="E10" s="2" t="s">
        <v>355</v>
      </c>
      <c r="F10" s="2" t="s">
        <v>4</v>
      </c>
      <c r="G10" s="2" t="s">
        <v>356</v>
      </c>
      <c r="H10" s="2" t="s">
        <v>357</v>
      </c>
      <c r="J10" s="2" t="s">
        <v>339</v>
      </c>
      <c r="K10" s="2" t="s">
        <v>352</v>
      </c>
      <c r="L10" s="2" t="s">
        <v>357</v>
      </c>
    </row>
    <row r="11" spans="1:12" x14ac:dyDescent="0.3">
      <c r="A11" t="s">
        <v>358</v>
      </c>
      <c r="B11">
        <v>-1.43060807656472</v>
      </c>
      <c r="C11">
        <v>0.42945631777100302</v>
      </c>
      <c r="D11">
        <v>-3.3312074298731198</v>
      </c>
      <c r="E11">
        <v>8.6470142317280295E-4</v>
      </c>
      <c r="F11">
        <v>0.19300395654241201</v>
      </c>
      <c r="G11">
        <v>6.6889294227979804E-2</v>
      </c>
      <c r="H11" t="s">
        <v>388</v>
      </c>
      <c r="J11" t="s">
        <v>364</v>
      </c>
      <c r="K11">
        <v>-0.17584825797657</v>
      </c>
      <c r="L11" t="s">
        <v>389</v>
      </c>
    </row>
    <row r="12" spans="1:12" x14ac:dyDescent="0.3">
      <c r="A12" t="s">
        <v>360</v>
      </c>
      <c r="B12">
        <v>-0.88427629605373803</v>
      </c>
      <c r="C12">
        <v>0.392804329867387</v>
      </c>
      <c r="D12">
        <v>-2.2511877512966199</v>
      </c>
      <c r="E12">
        <v>2.43736483606809E-2</v>
      </c>
      <c r="F12">
        <v>0.29229240969936399</v>
      </c>
      <c r="G12">
        <v>8.1254544028484005E-2</v>
      </c>
      <c r="H12" t="s">
        <v>388</v>
      </c>
      <c r="J12" t="s">
        <v>362</v>
      </c>
      <c r="K12">
        <v>-0.84820283637860505</v>
      </c>
      <c r="L12" t="s">
        <v>388</v>
      </c>
    </row>
    <row r="13" spans="1:12" x14ac:dyDescent="0.3">
      <c r="A13" t="s">
        <v>362</v>
      </c>
      <c r="B13">
        <v>-0.84820283637860505</v>
      </c>
      <c r="C13">
        <v>0.319413527236726</v>
      </c>
      <c r="D13">
        <v>-2.65550067248711</v>
      </c>
      <c r="E13">
        <v>7.9190775624851696E-3</v>
      </c>
      <c r="F13">
        <v>0.29980998944577197</v>
      </c>
      <c r="G13">
        <v>6.7052552411067806E-2</v>
      </c>
      <c r="H13" t="s">
        <v>388</v>
      </c>
      <c r="J13" t="s">
        <v>360</v>
      </c>
      <c r="K13">
        <v>-0.88427629605373803</v>
      </c>
      <c r="L13" t="s">
        <v>388</v>
      </c>
    </row>
    <row r="14" spans="1:12" x14ac:dyDescent="0.3">
      <c r="A14" t="s">
        <v>364</v>
      </c>
      <c r="B14">
        <v>-0.17584825797657</v>
      </c>
      <c r="C14">
        <v>0.316572459236797</v>
      </c>
      <c r="D14">
        <v>-0.55547554073563599</v>
      </c>
      <c r="E14">
        <v>0.57856943562467</v>
      </c>
      <c r="F14">
        <v>0.45615087143864902</v>
      </c>
      <c r="G14">
        <v>7.8534426355561904E-2</v>
      </c>
      <c r="H14" t="s">
        <v>389</v>
      </c>
      <c r="J14" t="s">
        <v>370</v>
      </c>
      <c r="K14">
        <v>-1.13565676323098</v>
      </c>
      <c r="L14" t="s">
        <v>388</v>
      </c>
    </row>
    <row r="15" spans="1:12" x14ac:dyDescent="0.3">
      <c r="A15" t="s">
        <v>366</v>
      </c>
      <c r="B15">
        <v>-1.9665002042905599</v>
      </c>
      <c r="C15">
        <v>0.39956401270737402</v>
      </c>
      <c r="D15">
        <v>-4.9216149146313501</v>
      </c>
      <c r="E15">
        <v>8.5832978725292304E-7</v>
      </c>
      <c r="F15">
        <v>0.122765296409756</v>
      </c>
      <c r="G15">
        <v>4.3030638156794497E-2</v>
      </c>
      <c r="H15" t="s">
        <v>390</v>
      </c>
      <c r="J15" t="s">
        <v>358</v>
      </c>
      <c r="K15">
        <v>-1.43060807656472</v>
      </c>
      <c r="L15" t="s">
        <v>388</v>
      </c>
    </row>
    <row r="16" spans="1:12" x14ac:dyDescent="0.3">
      <c r="A16" t="s">
        <v>368</v>
      </c>
      <c r="B16">
        <v>-1.6318891574391601</v>
      </c>
      <c r="C16">
        <v>0.40836986720242202</v>
      </c>
      <c r="D16">
        <v>-3.9961057083339102</v>
      </c>
      <c r="E16">
        <v>6.4392989598229496E-5</v>
      </c>
      <c r="F16">
        <v>0.16357172992276001</v>
      </c>
      <c r="G16">
        <v>5.5871539548105302E-2</v>
      </c>
      <c r="H16" t="s">
        <v>388</v>
      </c>
      <c r="J16" t="s">
        <v>368</v>
      </c>
      <c r="K16">
        <v>-1.6318891574391601</v>
      </c>
      <c r="L16" t="s">
        <v>388</v>
      </c>
    </row>
    <row r="17" spans="1:14" x14ac:dyDescent="0.3">
      <c r="A17" t="s">
        <v>370</v>
      </c>
      <c r="B17">
        <v>-1.13565676323098</v>
      </c>
      <c r="C17">
        <v>0.381503894470128</v>
      </c>
      <c r="D17">
        <v>-2.97678943699461</v>
      </c>
      <c r="E17">
        <v>2.9128398917034298E-3</v>
      </c>
      <c r="F17">
        <v>0.24311867668578799</v>
      </c>
      <c r="G17">
        <v>7.0201289186068994E-2</v>
      </c>
      <c r="H17" t="s">
        <v>388</v>
      </c>
      <c r="J17" t="s">
        <v>366</v>
      </c>
      <c r="K17">
        <v>-1.9665002042905599</v>
      </c>
      <c r="L17" t="s">
        <v>390</v>
      </c>
    </row>
    <row r="21" spans="1:14" x14ac:dyDescent="0.3">
      <c r="A21" s="2" t="s">
        <v>350</v>
      </c>
      <c r="B21" s="2" t="s">
        <v>352</v>
      </c>
      <c r="C21" s="2" t="s">
        <v>353</v>
      </c>
      <c r="D21" s="2" t="s">
        <v>354</v>
      </c>
      <c r="E21" s="2" t="s">
        <v>355</v>
      </c>
      <c r="F21" s="2" t="s">
        <v>4</v>
      </c>
      <c r="G21" s="2" t="s">
        <v>356</v>
      </c>
    </row>
    <row r="22" spans="1:14" x14ac:dyDescent="0.3">
      <c r="A22" t="s">
        <v>372</v>
      </c>
      <c r="B22">
        <v>-0.70961170302680299</v>
      </c>
      <c r="C22">
        <v>0.165622728124876</v>
      </c>
      <c r="D22">
        <v>-4.2845067887770298</v>
      </c>
      <c r="E22">
        <v>1.8314501678316502E-5</v>
      </c>
      <c r="F22">
        <v>0.32968464530423403</v>
      </c>
      <c r="G22">
        <v>3.6601410549750697E-2</v>
      </c>
    </row>
    <row r="23" spans="1:14" x14ac:dyDescent="0.3">
      <c r="A23" t="s">
        <v>373</v>
      </c>
      <c r="B23">
        <v>-1.5969544660972901</v>
      </c>
      <c r="C23">
        <v>0.20122490958157199</v>
      </c>
      <c r="D23">
        <v>-7.9361668961263501</v>
      </c>
      <c r="E23">
        <v>2.0852537392081602E-15</v>
      </c>
      <c r="F23">
        <v>0.16840770075008701</v>
      </c>
      <c r="G23">
        <v>2.8180853773013399E-2</v>
      </c>
    </row>
    <row r="26" spans="1:14" x14ac:dyDescent="0.3">
      <c r="A26" s="2" t="s">
        <v>339</v>
      </c>
      <c r="B26" s="2" t="s">
        <v>350</v>
      </c>
      <c r="C26" s="2" t="s">
        <v>352</v>
      </c>
      <c r="D26" s="2" t="s">
        <v>353</v>
      </c>
      <c r="E26" s="2" t="s">
        <v>354</v>
      </c>
      <c r="F26" s="2" t="s">
        <v>355</v>
      </c>
      <c r="G26" s="2" t="s">
        <v>4</v>
      </c>
      <c r="H26" s="2" t="s">
        <v>356</v>
      </c>
      <c r="I26" s="2" t="s">
        <v>357</v>
      </c>
      <c r="K26" s="2" t="s">
        <v>339</v>
      </c>
      <c r="L26" s="2" t="s">
        <v>350</v>
      </c>
      <c r="M26" s="2" t="s">
        <v>352</v>
      </c>
      <c r="N26" s="2" t="s">
        <v>357</v>
      </c>
    </row>
    <row r="27" spans="1:14" x14ac:dyDescent="0.3">
      <c r="A27" t="s">
        <v>358</v>
      </c>
      <c r="B27" t="s">
        <v>372</v>
      </c>
      <c r="C27">
        <v>-1.63815817202815</v>
      </c>
      <c r="D27">
        <v>0.56760858571083095</v>
      </c>
      <c r="E27">
        <v>-2.8860701075841599</v>
      </c>
      <c r="F27">
        <v>3.9008525267974301E-3</v>
      </c>
      <c r="G27">
        <v>0.16271583624901401</v>
      </c>
      <c r="H27">
        <v>7.7330649112307207E-2</v>
      </c>
      <c r="I27" t="s">
        <v>391</v>
      </c>
      <c r="K27" t="s">
        <v>370</v>
      </c>
      <c r="L27" t="s">
        <v>372</v>
      </c>
      <c r="M27">
        <v>0.15680429402250401</v>
      </c>
      <c r="N27" t="s">
        <v>393</v>
      </c>
    </row>
    <row r="28" spans="1:14" x14ac:dyDescent="0.3">
      <c r="A28" t="s">
        <v>360</v>
      </c>
      <c r="B28" t="s">
        <v>372</v>
      </c>
      <c r="C28">
        <v>-0.85959760732300206</v>
      </c>
      <c r="D28">
        <v>0.48072915310763198</v>
      </c>
      <c r="E28">
        <v>-1.78811208300185</v>
      </c>
      <c r="F28">
        <v>7.3757926566172E-2</v>
      </c>
      <c r="G28">
        <v>0.29742342387311199</v>
      </c>
      <c r="H28">
        <v>0.100454476610805</v>
      </c>
      <c r="I28" t="s">
        <v>391</v>
      </c>
      <c r="K28" t="s">
        <v>364</v>
      </c>
      <c r="L28" t="s">
        <v>372</v>
      </c>
      <c r="M28">
        <v>-4.2298927129592601E-2</v>
      </c>
      <c r="N28" t="s">
        <v>392</v>
      </c>
    </row>
    <row r="29" spans="1:14" x14ac:dyDescent="0.3">
      <c r="A29" t="s">
        <v>362</v>
      </c>
      <c r="B29" t="s">
        <v>372</v>
      </c>
      <c r="C29">
        <v>-0.59865343652159697</v>
      </c>
      <c r="D29">
        <v>0.38297703424934898</v>
      </c>
      <c r="E29">
        <v>-1.5631575342239099</v>
      </c>
      <c r="F29">
        <v>0.118015545733473</v>
      </c>
      <c r="G29">
        <v>0.35465182666606498</v>
      </c>
      <c r="H29">
        <v>8.7653450697637705E-2</v>
      </c>
      <c r="I29" t="s">
        <v>391</v>
      </c>
      <c r="K29" t="s">
        <v>364</v>
      </c>
      <c r="L29" t="s">
        <v>373</v>
      </c>
      <c r="M29">
        <v>-0.30939758882354801</v>
      </c>
      <c r="N29" t="s">
        <v>391</v>
      </c>
    </row>
    <row r="30" spans="1:14" x14ac:dyDescent="0.3">
      <c r="A30" t="s">
        <v>364</v>
      </c>
      <c r="B30" t="s">
        <v>372</v>
      </c>
      <c r="C30">
        <v>-4.2298927129592601E-2</v>
      </c>
      <c r="D30">
        <v>0.40011279916332498</v>
      </c>
      <c r="E30">
        <v>-0.1057175057085</v>
      </c>
      <c r="F30">
        <v>0.91580649063905994</v>
      </c>
      <c r="G30">
        <v>0.489426844627387</v>
      </c>
      <c r="H30">
        <v>9.9983470535017299E-2</v>
      </c>
      <c r="I30" t="s">
        <v>392</v>
      </c>
      <c r="K30" t="s">
        <v>368</v>
      </c>
      <c r="L30" t="s">
        <v>372</v>
      </c>
      <c r="M30">
        <v>-0.51021509205862303</v>
      </c>
      <c r="N30" t="s">
        <v>391</v>
      </c>
    </row>
    <row r="31" spans="1:14" x14ac:dyDescent="0.3">
      <c r="A31" t="s">
        <v>366</v>
      </c>
      <c r="B31" t="s">
        <v>372</v>
      </c>
      <c r="C31">
        <v>-1.4751629801491599</v>
      </c>
      <c r="D31">
        <v>0.44424773663121903</v>
      </c>
      <c r="E31">
        <v>-3.3205863722243998</v>
      </c>
      <c r="F31">
        <v>8.9828558967635795E-4</v>
      </c>
      <c r="G31">
        <v>0.186159134508463</v>
      </c>
      <c r="H31">
        <v>6.7305269618064503E-2</v>
      </c>
      <c r="I31" t="s">
        <v>391</v>
      </c>
      <c r="K31" t="s">
        <v>362</v>
      </c>
      <c r="L31" t="s">
        <v>372</v>
      </c>
      <c r="M31">
        <v>-0.59865343652159697</v>
      </c>
      <c r="N31" t="s">
        <v>391</v>
      </c>
    </row>
    <row r="32" spans="1:14" x14ac:dyDescent="0.3">
      <c r="A32" t="s">
        <v>368</v>
      </c>
      <c r="B32" t="s">
        <v>372</v>
      </c>
      <c r="C32">
        <v>-0.51021509205862303</v>
      </c>
      <c r="D32">
        <v>0.37885111039088398</v>
      </c>
      <c r="E32">
        <v>-1.3467430292924401</v>
      </c>
      <c r="F32">
        <v>0.17806300877672801</v>
      </c>
      <c r="G32">
        <v>0.37514310428568198</v>
      </c>
      <c r="H32">
        <v>8.8806775043816497E-2</v>
      </c>
      <c r="I32" t="s">
        <v>391</v>
      </c>
      <c r="K32" t="s">
        <v>360</v>
      </c>
      <c r="L32" t="s">
        <v>372</v>
      </c>
      <c r="M32">
        <v>-0.85959760732300206</v>
      </c>
      <c r="N32" t="s">
        <v>391</v>
      </c>
    </row>
    <row r="33" spans="1:14" x14ac:dyDescent="0.3">
      <c r="A33" t="s">
        <v>370</v>
      </c>
      <c r="B33" t="s">
        <v>372</v>
      </c>
      <c r="C33">
        <v>0.15680429402250401</v>
      </c>
      <c r="D33">
        <v>0.37777964746386899</v>
      </c>
      <c r="E33">
        <v>0.41506813581719199</v>
      </c>
      <c r="F33">
        <v>0.67809202487379705</v>
      </c>
      <c r="G33">
        <v>0.53912094885781903</v>
      </c>
      <c r="H33">
        <v>9.3866739518461806E-2</v>
      </c>
      <c r="I33" t="s">
        <v>393</v>
      </c>
      <c r="K33" t="s">
        <v>360</v>
      </c>
      <c r="L33" t="s">
        <v>373</v>
      </c>
      <c r="M33">
        <v>-0.90895498478447401</v>
      </c>
      <c r="N33" t="s">
        <v>391</v>
      </c>
    </row>
    <row r="34" spans="1:14" x14ac:dyDescent="0.3">
      <c r="A34" t="s">
        <v>358</v>
      </c>
      <c r="B34" t="s">
        <v>373</v>
      </c>
      <c r="C34">
        <v>-1.22305798110129</v>
      </c>
      <c r="D34">
        <v>0.52417496132538599</v>
      </c>
      <c r="E34">
        <v>-2.33330103751763</v>
      </c>
      <c r="F34">
        <v>1.96323510357038E-2</v>
      </c>
      <c r="G34">
        <v>0.22739875046794999</v>
      </c>
      <c r="H34">
        <v>9.2091543489962804E-2</v>
      </c>
      <c r="I34" t="s">
        <v>391</v>
      </c>
      <c r="K34" t="s">
        <v>362</v>
      </c>
      <c r="L34" t="s">
        <v>373</v>
      </c>
      <c r="M34">
        <v>-1.09775223623561</v>
      </c>
      <c r="N34" t="s">
        <v>391</v>
      </c>
    </row>
    <row r="35" spans="1:14" x14ac:dyDescent="0.3">
      <c r="A35" t="s">
        <v>360</v>
      </c>
      <c r="B35" t="s">
        <v>373</v>
      </c>
      <c r="C35">
        <v>-0.90895498478447401</v>
      </c>
      <c r="D35">
        <v>0.49640647031243501</v>
      </c>
      <c r="E35">
        <v>-1.83106997822245</v>
      </c>
      <c r="F35">
        <v>6.7090098863901604E-2</v>
      </c>
      <c r="G35">
        <v>0.28721372727380901</v>
      </c>
      <c r="H35">
        <v>0.101625326477262</v>
      </c>
      <c r="I35" t="s">
        <v>391</v>
      </c>
      <c r="K35" t="s">
        <v>358</v>
      </c>
      <c r="L35" t="s">
        <v>373</v>
      </c>
      <c r="M35">
        <v>-1.22305798110129</v>
      </c>
      <c r="N35" t="s">
        <v>391</v>
      </c>
    </row>
    <row r="36" spans="1:14" x14ac:dyDescent="0.3">
      <c r="A36" t="s">
        <v>362</v>
      </c>
      <c r="B36" t="s">
        <v>373</v>
      </c>
      <c r="C36">
        <v>-1.09775223623561</v>
      </c>
      <c r="D36">
        <v>0.40906577426560897</v>
      </c>
      <c r="E36">
        <v>-2.6835592349577402</v>
      </c>
      <c r="F36">
        <v>7.2843069887722498E-3</v>
      </c>
      <c r="G36">
        <v>0.25016129450158298</v>
      </c>
      <c r="H36">
        <v>7.6732812062668104E-2</v>
      </c>
      <c r="I36" t="s">
        <v>391</v>
      </c>
      <c r="K36" t="s">
        <v>366</v>
      </c>
      <c r="L36" t="s">
        <v>372</v>
      </c>
      <c r="M36">
        <v>-1.4751629801491599</v>
      </c>
      <c r="N36" t="s">
        <v>391</v>
      </c>
    </row>
    <row r="37" spans="1:14" x14ac:dyDescent="0.3">
      <c r="A37" t="s">
        <v>364</v>
      </c>
      <c r="B37" t="s">
        <v>373</v>
      </c>
      <c r="C37">
        <v>-0.30939758882354801</v>
      </c>
      <c r="D37">
        <v>0.38500333628279199</v>
      </c>
      <c r="E37">
        <v>-0.80362313690780396</v>
      </c>
      <c r="F37">
        <v>0.42161465675180199</v>
      </c>
      <c r="G37">
        <v>0.42326178740907999</v>
      </c>
      <c r="H37">
        <v>9.39836444145669E-2</v>
      </c>
      <c r="I37" t="s">
        <v>391</v>
      </c>
      <c r="K37" t="s">
        <v>358</v>
      </c>
      <c r="L37" t="s">
        <v>372</v>
      </c>
      <c r="M37">
        <v>-1.63815817202815</v>
      </c>
      <c r="N37" t="s">
        <v>391</v>
      </c>
    </row>
    <row r="38" spans="1:14" x14ac:dyDescent="0.3">
      <c r="A38" t="s">
        <v>366</v>
      </c>
      <c r="B38" t="s">
        <v>373</v>
      </c>
      <c r="C38">
        <v>-2.4578374284319602</v>
      </c>
      <c r="D38">
        <v>0.58732651888930498</v>
      </c>
      <c r="E38">
        <v>-4.1847887833840502</v>
      </c>
      <c r="F38">
        <v>2.8543137510648201E-5</v>
      </c>
      <c r="G38">
        <v>7.8867299032950006E-2</v>
      </c>
      <c r="H38">
        <v>4.26676553782133E-2</v>
      </c>
      <c r="I38" t="s">
        <v>394</v>
      </c>
      <c r="K38" t="s">
        <v>370</v>
      </c>
      <c r="L38" t="s">
        <v>373</v>
      </c>
      <c r="M38">
        <v>-2.42811782048447</v>
      </c>
      <c r="N38" t="s">
        <v>394</v>
      </c>
    </row>
    <row r="39" spans="1:14" x14ac:dyDescent="0.3">
      <c r="A39" t="s">
        <v>368</v>
      </c>
      <c r="B39" t="s">
        <v>373</v>
      </c>
      <c r="C39">
        <v>-2.75356322281969</v>
      </c>
      <c r="D39">
        <v>0.65533792315563499</v>
      </c>
      <c r="E39">
        <v>-4.2017455812117799</v>
      </c>
      <c r="F39">
        <v>2.6486470803716999E-5</v>
      </c>
      <c r="G39">
        <v>5.9885727890448902E-2</v>
      </c>
      <c r="H39">
        <v>3.68951498831857E-2</v>
      </c>
      <c r="I39" t="s">
        <v>395</v>
      </c>
      <c r="K39" t="s">
        <v>366</v>
      </c>
      <c r="L39" t="s">
        <v>373</v>
      </c>
      <c r="M39">
        <v>-2.4578374284319602</v>
      </c>
      <c r="N39" t="s">
        <v>394</v>
      </c>
    </row>
    <row r="40" spans="1:14" x14ac:dyDescent="0.3">
      <c r="A40" t="s">
        <v>370</v>
      </c>
      <c r="B40" t="s">
        <v>373</v>
      </c>
      <c r="C40">
        <v>-2.42811782048447</v>
      </c>
      <c r="D40">
        <v>0.59026268092287704</v>
      </c>
      <c r="E40">
        <v>-4.1136224582047101</v>
      </c>
      <c r="F40">
        <v>3.89498267197385E-5</v>
      </c>
      <c r="G40">
        <v>8.1053548731469305E-2</v>
      </c>
      <c r="H40">
        <v>4.3965049363973399E-2</v>
      </c>
      <c r="I40" t="s">
        <v>394</v>
      </c>
      <c r="K40" t="s">
        <v>368</v>
      </c>
      <c r="L40" t="s">
        <v>373</v>
      </c>
      <c r="M40">
        <v>-2.75356322281969</v>
      </c>
      <c r="N40" t="s">
        <v>395</v>
      </c>
    </row>
  </sheetData>
  <conditionalFormatting sqref="F5:F7">
    <cfRule type="cellIs" dxfId="27" priority="1" operator="between">
      <formula>0.01</formula>
      <formula>0.05</formula>
    </cfRule>
    <cfRule type="cellIs" dxfId="26" priority="2" operator="between">
      <formula>0.001</formula>
      <formula>0.01</formula>
    </cfRule>
    <cfRule type="cellIs" dxfId="25" priority="3" operator="lessThan">
      <formula>0.001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37"/>
  <sheetViews>
    <sheetView workbookViewId="0">
      <selection activeCell="N3" sqref="N3"/>
    </sheetView>
  </sheetViews>
  <sheetFormatPr defaultColWidth="11.44140625" defaultRowHeight="14.4" x14ac:dyDescent="0.3"/>
  <sheetData>
    <row r="1" spans="1:21" x14ac:dyDescent="0.3">
      <c r="A1" t="s">
        <v>168</v>
      </c>
      <c r="B1" t="s">
        <v>169</v>
      </c>
      <c r="C1" t="s">
        <v>170</v>
      </c>
      <c r="D1" t="s">
        <v>171</v>
      </c>
      <c r="E1" t="s">
        <v>172</v>
      </c>
      <c r="F1" t="s">
        <v>173</v>
      </c>
      <c r="G1" t="s">
        <v>174</v>
      </c>
      <c r="H1" t="s">
        <v>175</v>
      </c>
      <c r="I1" t="s">
        <v>176</v>
      </c>
      <c r="J1" t="s">
        <v>177</v>
      </c>
      <c r="K1" t="s">
        <v>178</v>
      </c>
      <c r="L1" t="s">
        <v>179</v>
      </c>
      <c r="M1" t="s">
        <v>180</v>
      </c>
      <c r="N1" t="s">
        <v>181</v>
      </c>
      <c r="O1" t="s">
        <v>182</v>
      </c>
      <c r="P1" t="s">
        <v>183</v>
      </c>
      <c r="Q1" t="s">
        <v>184</v>
      </c>
      <c r="R1" t="s">
        <v>185</v>
      </c>
      <c r="S1" t="s">
        <v>186</v>
      </c>
      <c r="T1" t="s">
        <v>187</v>
      </c>
      <c r="U1" t="s">
        <v>188</v>
      </c>
    </row>
    <row r="2" spans="1:21" x14ac:dyDescent="0.3">
      <c r="A2" t="s">
        <v>189</v>
      </c>
      <c r="B2" t="s">
        <v>190</v>
      </c>
      <c r="I2">
        <v>361.33</v>
      </c>
      <c r="S2">
        <v>174.67</v>
      </c>
      <c r="T2">
        <v>303.73</v>
      </c>
    </row>
    <row r="3" spans="1:21" x14ac:dyDescent="0.3">
      <c r="A3" t="s">
        <v>191</v>
      </c>
      <c r="B3" t="s">
        <v>192</v>
      </c>
      <c r="C3">
        <v>666.4</v>
      </c>
      <c r="D3">
        <v>128.27000000000001</v>
      </c>
      <c r="E3">
        <v>636.27</v>
      </c>
      <c r="F3">
        <v>297.87</v>
      </c>
      <c r="G3">
        <v>4.8</v>
      </c>
      <c r="H3">
        <v>2.67</v>
      </c>
      <c r="I3">
        <v>413.33</v>
      </c>
      <c r="J3">
        <v>12.53</v>
      </c>
      <c r="K3">
        <v>153.33000000000001</v>
      </c>
      <c r="L3">
        <v>12.8</v>
      </c>
      <c r="M3">
        <v>45.87</v>
      </c>
      <c r="N3">
        <v>27.47</v>
      </c>
      <c r="O3">
        <v>17.87</v>
      </c>
      <c r="P3">
        <v>10.4</v>
      </c>
      <c r="Q3">
        <v>0</v>
      </c>
      <c r="R3">
        <v>43.2</v>
      </c>
      <c r="S3">
        <v>392.53</v>
      </c>
      <c r="T3">
        <v>247.73</v>
      </c>
      <c r="U3">
        <v>235.73</v>
      </c>
    </row>
    <row r="4" spans="1:21" x14ac:dyDescent="0.3">
      <c r="A4" t="s">
        <v>193</v>
      </c>
      <c r="B4" t="s">
        <v>194</v>
      </c>
      <c r="I4">
        <v>476.27</v>
      </c>
      <c r="S4">
        <v>662.4</v>
      </c>
      <c r="T4">
        <v>468.27</v>
      </c>
    </row>
    <row r="5" spans="1:21" x14ac:dyDescent="0.3">
      <c r="A5" t="s">
        <v>195</v>
      </c>
      <c r="B5" t="s">
        <v>196</v>
      </c>
      <c r="C5">
        <v>483.73</v>
      </c>
      <c r="D5">
        <v>344.8</v>
      </c>
      <c r="E5">
        <v>606.92999999999995</v>
      </c>
      <c r="F5">
        <v>153.33000000000001</v>
      </c>
      <c r="G5">
        <v>28.27</v>
      </c>
      <c r="H5">
        <v>8</v>
      </c>
      <c r="I5">
        <v>965.07</v>
      </c>
      <c r="J5">
        <v>69.599999999999994</v>
      </c>
      <c r="K5">
        <v>821.33</v>
      </c>
      <c r="L5">
        <v>96.27</v>
      </c>
      <c r="M5">
        <v>98.93</v>
      </c>
      <c r="N5">
        <v>102.67</v>
      </c>
      <c r="O5">
        <v>50.67</v>
      </c>
      <c r="P5">
        <v>37.07</v>
      </c>
      <c r="Q5">
        <v>446.4</v>
      </c>
      <c r="R5">
        <v>16.53</v>
      </c>
      <c r="S5">
        <v>222.13</v>
      </c>
      <c r="T5">
        <v>266.13</v>
      </c>
      <c r="U5">
        <v>89.6</v>
      </c>
    </row>
    <row r="10" spans="1:21" x14ac:dyDescent="0.3">
      <c r="A10" t="s">
        <v>58</v>
      </c>
      <c r="B10" t="s">
        <v>30</v>
      </c>
      <c r="C10" t="s">
        <v>31</v>
      </c>
      <c r="D10" t="s">
        <v>61</v>
      </c>
      <c r="E10" t="s">
        <v>62</v>
      </c>
      <c r="F10" t="s">
        <v>63</v>
      </c>
      <c r="G10" t="s">
        <v>59</v>
      </c>
      <c r="H10" t="s">
        <v>60</v>
      </c>
    </row>
    <row r="11" spans="1:21" x14ac:dyDescent="0.3">
      <c r="A11" t="s">
        <v>2</v>
      </c>
      <c r="B11">
        <v>128.27000000000001</v>
      </c>
      <c r="C11">
        <v>2.67</v>
      </c>
      <c r="D11">
        <v>12.53</v>
      </c>
      <c r="E11">
        <v>12.8</v>
      </c>
      <c r="F11">
        <v>0</v>
      </c>
      <c r="G11">
        <v>16.53</v>
      </c>
      <c r="H11">
        <v>89.6</v>
      </c>
    </row>
    <row r="12" spans="1:21" x14ac:dyDescent="0.3">
      <c r="A12" t="s">
        <v>3</v>
      </c>
      <c r="B12">
        <v>666.4</v>
      </c>
      <c r="C12">
        <v>297.87</v>
      </c>
      <c r="D12">
        <v>965.07</v>
      </c>
      <c r="E12">
        <v>102.67</v>
      </c>
      <c r="F12">
        <v>446.4</v>
      </c>
      <c r="G12">
        <v>662.4</v>
      </c>
      <c r="H12">
        <v>468.27</v>
      </c>
    </row>
    <row r="13" spans="1:21" x14ac:dyDescent="0.3">
      <c r="A13" t="s">
        <v>4</v>
      </c>
      <c r="B13">
        <v>477.73</v>
      </c>
      <c r="C13">
        <v>82.49</v>
      </c>
      <c r="D13">
        <v>409.1</v>
      </c>
      <c r="E13">
        <v>64</v>
      </c>
      <c r="F13">
        <v>93.74</v>
      </c>
      <c r="G13">
        <v>251.91</v>
      </c>
      <c r="H13">
        <v>268.52999999999997</v>
      </c>
    </row>
    <row r="15" spans="1:21" x14ac:dyDescent="0.3">
      <c r="B15" t="s">
        <v>197</v>
      </c>
      <c r="C15" t="s">
        <v>30</v>
      </c>
      <c r="D15" t="s">
        <v>31</v>
      </c>
      <c r="E15" t="s">
        <v>61</v>
      </c>
      <c r="F15" t="s">
        <v>62</v>
      </c>
      <c r="G15" t="s">
        <v>63</v>
      </c>
      <c r="H15" t="s">
        <v>59</v>
      </c>
      <c r="I15" t="s">
        <v>60</v>
      </c>
    </row>
    <row r="16" spans="1:21" x14ac:dyDescent="0.3">
      <c r="B16" t="s">
        <v>198</v>
      </c>
      <c r="C16">
        <v>478.49</v>
      </c>
      <c r="D16">
        <v>63.2</v>
      </c>
      <c r="E16">
        <v>618.66999999999996</v>
      </c>
      <c r="F16">
        <v>99.29</v>
      </c>
      <c r="G16">
        <v>178.05</v>
      </c>
      <c r="H16">
        <v>119.33</v>
      </c>
      <c r="I16">
        <v>177.86</v>
      </c>
    </row>
    <row r="17" spans="1:21" x14ac:dyDescent="0.3">
      <c r="B17" t="s">
        <v>199</v>
      </c>
      <c r="C17">
        <v>476.98</v>
      </c>
      <c r="D17">
        <v>101.78</v>
      </c>
      <c r="E17">
        <v>193.06</v>
      </c>
      <c r="F17">
        <v>28.71</v>
      </c>
      <c r="G17">
        <v>9.42</v>
      </c>
      <c r="H17">
        <v>217.86</v>
      </c>
      <c r="I17">
        <v>241.73</v>
      </c>
    </row>
    <row r="21" spans="1:21" x14ac:dyDescent="0.3">
      <c r="A21" t="s">
        <v>168</v>
      </c>
      <c r="B21" t="s">
        <v>169</v>
      </c>
      <c r="C21" t="s">
        <v>200</v>
      </c>
      <c r="D21" t="s">
        <v>201</v>
      </c>
      <c r="E21" t="s">
        <v>202</v>
      </c>
      <c r="F21" t="s">
        <v>203</v>
      </c>
      <c r="G21" t="s">
        <v>204</v>
      </c>
      <c r="H21" t="s">
        <v>205</v>
      </c>
      <c r="I21" t="s">
        <v>206</v>
      </c>
      <c r="J21" t="s">
        <v>207</v>
      </c>
      <c r="K21" t="s">
        <v>208</v>
      </c>
      <c r="L21" t="s">
        <v>209</v>
      </c>
      <c r="M21" t="s">
        <v>210</v>
      </c>
      <c r="N21" t="s">
        <v>211</v>
      </c>
      <c r="O21" t="s">
        <v>212</v>
      </c>
      <c r="P21" t="s">
        <v>213</v>
      </c>
      <c r="Q21" t="s">
        <v>214</v>
      </c>
      <c r="R21" t="s">
        <v>215</v>
      </c>
      <c r="S21" t="s">
        <v>216</v>
      </c>
      <c r="T21" t="s">
        <v>217</v>
      </c>
      <c r="U21" t="s">
        <v>218</v>
      </c>
    </row>
    <row r="22" spans="1:21" x14ac:dyDescent="0.3">
      <c r="A22" t="s">
        <v>189</v>
      </c>
      <c r="B22" t="s">
        <v>190</v>
      </c>
      <c r="I22">
        <v>0.18</v>
      </c>
      <c r="S22">
        <v>0.25</v>
      </c>
      <c r="T22">
        <v>0.26</v>
      </c>
    </row>
    <row r="23" spans="1:21" x14ac:dyDescent="0.3">
      <c r="A23" t="s">
        <v>191</v>
      </c>
      <c r="B23" t="s">
        <v>192</v>
      </c>
      <c r="C23">
        <v>0.27</v>
      </c>
      <c r="D23">
        <v>0.67</v>
      </c>
      <c r="E23">
        <v>0.14000000000000001</v>
      </c>
      <c r="F23">
        <v>0.12</v>
      </c>
      <c r="G23">
        <v>0.76</v>
      </c>
      <c r="H23">
        <v>0.69</v>
      </c>
      <c r="I23">
        <v>0.14000000000000001</v>
      </c>
      <c r="J23">
        <v>0.28999999999999998</v>
      </c>
      <c r="K23">
        <v>0.15</v>
      </c>
      <c r="L23">
        <v>0.55000000000000004</v>
      </c>
      <c r="M23">
        <v>0.23</v>
      </c>
      <c r="N23">
        <v>0.35</v>
      </c>
      <c r="O23">
        <v>0.39</v>
      </c>
      <c r="P23">
        <v>0.21</v>
      </c>
      <c r="Q23">
        <v>1</v>
      </c>
      <c r="R23">
        <v>0.2</v>
      </c>
      <c r="S23">
        <v>0.14000000000000001</v>
      </c>
      <c r="T23">
        <v>0.31</v>
      </c>
      <c r="U23">
        <v>0.3</v>
      </c>
    </row>
    <row r="24" spans="1:21" x14ac:dyDescent="0.3">
      <c r="A24" t="s">
        <v>193</v>
      </c>
      <c r="B24" t="s">
        <v>194</v>
      </c>
      <c r="I24">
        <v>0.1</v>
      </c>
      <c r="S24">
        <v>0.09</v>
      </c>
      <c r="T24">
        <v>0.21</v>
      </c>
    </row>
    <row r="25" spans="1:21" x14ac:dyDescent="0.3">
      <c r="A25" t="s">
        <v>195</v>
      </c>
      <c r="B25" t="s">
        <v>196</v>
      </c>
      <c r="C25">
        <v>0.26</v>
      </c>
      <c r="D25">
        <v>0.28000000000000003</v>
      </c>
      <c r="E25">
        <v>0.23</v>
      </c>
      <c r="F25">
        <v>0.39</v>
      </c>
      <c r="G25">
        <v>0.51</v>
      </c>
      <c r="H25">
        <v>0.35</v>
      </c>
      <c r="I25">
        <v>0.04</v>
      </c>
      <c r="J25">
        <v>0.15</v>
      </c>
      <c r="K25">
        <v>0.05</v>
      </c>
      <c r="L25">
        <v>0.04</v>
      </c>
      <c r="M25">
        <v>0.08</v>
      </c>
      <c r="N25">
        <v>7.0000000000000007E-2</v>
      </c>
      <c r="O25">
        <v>0.15</v>
      </c>
      <c r="P25">
        <v>0.12</v>
      </c>
      <c r="Q25">
        <v>0.01</v>
      </c>
      <c r="R25">
        <v>0.27</v>
      </c>
      <c r="S25">
        <v>0.2</v>
      </c>
      <c r="T25">
        <v>0.22</v>
      </c>
      <c r="U25">
        <v>0.37</v>
      </c>
    </row>
    <row r="30" spans="1:21" x14ac:dyDescent="0.3">
      <c r="A30" t="s">
        <v>58</v>
      </c>
      <c r="B30" t="s">
        <v>30</v>
      </c>
      <c r="C30" t="s">
        <v>31</v>
      </c>
      <c r="D30" t="s">
        <v>61</v>
      </c>
      <c r="E30" t="s">
        <v>62</v>
      </c>
      <c r="F30" t="s">
        <v>63</v>
      </c>
      <c r="G30" t="s">
        <v>59</v>
      </c>
      <c r="H30" t="s">
        <v>60</v>
      </c>
    </row>
    <row r="31" spans="1:21" x14ac:dyDescent="0.3">
      <c r="A31" t="s">
        <v>2</v>
      </c>
      <c r="B31">
        <v>0.14000000000000001</v>
      </c>
      <c r="C31">
        <v>0.12</v>
      </c>
      <c r="D31">
        <v>0.04</v>
      </c>
      <c r="E31">
        <v>0.04</v>
      </c>
      <c r="F31">
        <v>0.01</v>
      </c>
      <c r="G31">
        <v>0.09</v>
      </c>
      <c r="H31">
        <v>0.21</v>
      </c>
    </row>
    <row r="32" spans="1:21" x14ac:dyDescent="0.3">
      <c r="A32" t="s">
        <v>3</v>
      </c>
      <c r="B32">
        <v>0.67</v>
      </c>
      <c r="C32">
        <v>0.76</v>
      </c>
      <c r="D32">
        <v>0.28999999999999998</v>
      </c>
      <c r="E32">
        <v>0.55000000000000004</v>
      </c>
      <c r="F32">
        <v>1</v>
      </c>
      <c r="G32">
        <v>0.27</v>
      </c>
      <c r="H32">
        <v>0.37</v>
      </c>
    </row>
    <row r="33" spans="1:9" x14ac:dyDescent="0.3">
      <c r="A33" t="s">
        <v>4</v>
      </c>
      <c r="B33">
        <v>0.31</v>
      </c>
      <c r="C33">
        <v>0.47</v>
      </c>
      <c r="D33">
        <v>0.14000000000000001</v>
      </c>
      <c r="E33">
        <v>0.22</v>
      </c>
      <c r="F33">
        <v>0.31</v>
      </c>
      <c r="G33">
        <v>0.19</v>
      </c>
      <c r="H33">
        <v>0.28000000000000003</v>
      </c>
    </row>
    <row r="35" spans="1:9" x14ac:dyDescent="0.3">
      <c r="B35" t="s">
        <v>197</v>
      </c>
      <c r="C35" t="s">
        <v>30</v>
      </c>
      <c r="D35" t="s">
        <v>31</v>
      </c>
      <c r="E35" t="s">
        <v>61</v>
      </c>
      <c r="F35" t="s">
        <v>62</v>
      </c>
      <c r="G35" t="s">
        <v>63</v>
      </c>
      <c r="H35" t="s">
        <v>59</v>
      </c>
      <c r="I35" t="s">
        <v>60</v>
      </c>
    </row>
    <row r="36" spans="1:9" x14ac:dyDescent="0.3">
      <c r="B36" t="s">
        <v>198</v>
      </c>
      <c r="C36">
        <v>0.26</v>
      </c>
      <c r="D36">
        <v>0.42</v>
      </c>
      <c r="E36">
        <v>0.08</v>
      </c>
      <c r="F36">
        <v>0.06</v>
      </c>
      <c r="G36">
        <v>0.09</v>
      </c>
      <c r="H36">
        <v>0.24</v>
      </c>
      <c r="I36">
        <v>0.3</v>
      </c>
    </row>
    <row r="37" spans="1:9" x14ac:dyDescent="0.3">
      <c r="B37" t="s">
        <v>199</v>
      </c>
      <c r="C37">
        <v>0.36</v>
      </c>
      <c r="D37">
        <v>0.52</v>
      </c>
      <c r="E37">
        <v>0.19</v>
      </c>
      <c r="F37">
        <v>0.38</v>
      </c>
      <c r="G37">
        <v>0.53</v>
      </c>
      <c r="H37">
        <v>0.17</v>
      </c>
      <c r="I37">
        <v>0.3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4:N40"/>
  <sheetViews>
    <sheetView workbookViewId="0">
      <selection activeCell="F7" sqref="F7"/>
    </sheetView>
  </sheetViews>
  <sheetFormatPr defaultColWidth="11.44140625" defaultRowHeight="14.4" x14ac:dyDescent="0.3"/>
  <sheetData>
    <row r="4" spans="1:12" x14ac:dyDescent="0.3">
      <c r="A4" s="2" t="s">
        <v>345</v>
      </c>
      <c r="B4" s="2" t="s">
        <v>346</v>
      </c>
      <c r="C4" s="2" t="s">
        <v>347</v>
      </c>
      <c r="D4" s="2" t="s">
        <v>348</v>
      </c>
      <c r="E4" s="2" t="s">
        <v>349</v>
      </c>
    </row>
    <row r="5" spans="1:12" x14ac:dyDescent="0.3">
      <c r="A5" t="s">
        <v>339</v>
      </c>
      <c r="B5">
        <v>6</v>
      </c>
      <c r="C5">
        <v>494</v>
      </c>
      <c r="D5">
        <v>16.6894742224193</v>
      </c>
      <c r="E5">
        <v>1.4484468562406501E-17</v>
      </c>
    </row>
    <row r="6" spans="1:12" x14ac:dyDescent="0.3">
      <c r="A6" t="s">
        <v>350</v>
      </c>
      <c r="B6">
        <v>1</v>
      </c>
      <c r="C6">
        <v>494</v>
      </c>
      <c r="D6">
        <v>6.14992347758833</v>
      </c>
      <c r="E6">
        <v>1.3474042030534501E-2</v>
      </c>
    </row>
    <row r="7" spans="1:12" x14ac:dyDescent="0.3">
      <c r="A7" t="s">
        <v>351</v>
      </c>
      <c r="B7">
        <v>6</v>
      </c>
      <c r="C7">
        <v>494</v>
      </c>
      <c r="D7">
        <v>12.7432590179665</v>
      </c>
      <c r="E7">
        <v>2.13632722892092E-13</v>
      </c>
    </row>
    <row r="10" spans="1:12" x14ac:dyDescent="0.3">
      <c r="A10" s="2" t="s">
        <v>339</v>
      </c>
      <c r="B10" s="2" t="s">
        <v>352</v>
      </c>
      <c r="C10" s="2" t="s">
        <v>353</v>
      </c>
      <c r="D10" s="2" t="s">
        <v>354</v>
      </c>
      <c r="E10" s="2" t="s">
        <v>355</v>
      </c>
      <c r="F10" s="2" t="s">
        <v>4</v>
      </c>
      <c r="G10" s="2" t="s">
        <v>356</v>
      </c>
      <c r="H10" s="2" t="s">
        <v>357</v>
      </c>
      <c r="J10" s="2" t="s">
        <v>339</v>
      </c>
      <c r="K10" s="2" t="s">
        <v>352</v>
      </c>
      <c r="L10" s="2" t="s">
        <v>357</v>
      </c>
    </row>
    <row r="11" spans="1:12" x14ac:dyDescent="0.3">
      <c r="A11" t="s">
        <v>358</v>
      </c>
      <c r="B11">
        <v>3.7871355496038399</v>
      </c>
      <c r="C11">
        <v>3.4777643692301102E-2</v>
      </c>
      <c r="D11">
        <v>108.895691240928</v>
      </c>
      <c r="E11">
        <v>0</v>
      </c>
      <c r="F11">
        <v>44.129811403010002</v>
      </c>
      <c r="G11">
        <v>1.5347308571823299</v>
      </c>
      <c r="H11" t="s">
        <v>396</v>
      </c>
      <c r="J11" t="s">
        <v>366</v>
      </c>
      <c r="K11">
        <v>3.8086274694331701</v>
      </c>
      <c r="L11" t="s">
        <v>396</v>
      </c>
    </row>
    <row r="12" spans="1:12" x14ac:dyDescent="0.3">
      <c r="A12" t="s">
        <v>360</v>
      </c>
      <c r="B12">
        <v>3.4642672693493801</v>
      </c>
      <c r="C12">
        <v>3.6322788543710301E-2</v>
      </c>
      <c r="D12">
        <v>95.374485501864399</v>
      </c>
      <c r="E12">
        <v>0</v>
      </c>
      <c r="F12">
        <v>31.953038222848299</v>
      </c>
      <c r="G12">
        <v>1.1606234506976101</v>
      </c>
      <c r="H12" t="s">
        <v>397</v>
      </c>
      <c r="J12" t="s">
        <v>358</v>
      </c>
      <c r="K12">
        <v>3.7871355496038399</v>
      </c>
      <c r="L12" t="s">
        <v>396</v>
      </c>
    </row>
    <row r="13" spans="1:12" x14ac:dyDescent="0.3">
      <c r="A13" t="s">
        <v>362</v>
      </c>
      <c r="B13">
        <v>3.5104444181462702</v>
      </c>
      <c r="C13">
        <v>2.90221029769408E-2</v>
      </c>
      <c r="D13">
        <v>120.95761705950299</v>
      </c>
      <c r="E13">
        <v>0</v>
      </c>
      <c r="F13">
        <v>33.463136104740499</v>
      </c>
      <c r="G13">
        <v>0.97117058196316497</v>
      </c>
      <c r="H13" t="s">
        <v>398</v>
      </c>
      <c r="J13" t="s">
        <v>368</v>
      </c>
      <c r="K13">
        <v>3.7674258173684598</v>
      </c>
      <c r="L13" t="s">
        <v>396</v>
      </c>
    </row>
    <row r="14" spans="1:12" x14ac:dyDescent="0.3">
      <c r="A14" t="s">
        <v>364</v>
      </c>
      <c r="B14">
        <v>3.6242798999876502</v>
      </c>
      <c r="C14">
        <v>3.4040522237599097E-2</v>
      </c>
      <c r="D14">
        <v>106.469573959253</v>
      </c>
      <c r="E14">
        <v>0</v>
      </c>
      <c r="F14">
        <v>37.497711332766201</v>
      </c>
      <c r="G14">
        <v>1.2764416764821001</v>
      </c>
      <c r="H14" t="s">
        <v>399</v>
      </c>
      <c r="J14" t="s">
        <v>370</v>
      </c>
      <c r="K14">
        <v>3.7589624798064101</v>
      </c>
      <c r="L14" t="s">
        <v>400</v>
      </c>
    </row>
    <row r="15" spans="1:12" x14ac:dyDescent="0.3">
      <c r="A15" t="s">
        <v>366</v>
      </c>
      <c r="B15">
        <v>3.8086274694331701</v>
      </c>
      <c r="C15">
        <v>2.7410401686695798E-2</v>
      </c>
      <c r="D15">
        <v>138.948254497189</v>
      </c>
      <c r="E15">
        <v>0</v>
      </c>
      <c r="F15">
        <v>45.088511017523501</v>
      </c>
      <c r="G15">
        <v>1.23589419844533</v>
      </c>
      <c r="H15" t="s">
        <v>396</v>
      </c>
      <c r="J15" t="s">
        <v>364</v>
      </c>
      <c r="K15">
        <v>3.6242798999876502</v>
      </c>
      <c r="L15" t="s">
        <v>399</v>
      </c>
    </row>
    <row r="16" spans="1:12" x14ac:dyDescent="0.3">
      <c r="A16" t="s">
        <v>368</v>
      </c>
      <c r="B16">
        <v>3.7674258173684598</v>
      </c>
      <c r="C16">
        <v>2.77930682328143E-2</v>
      </c>
      <c r="D16">
        <v>135.55271356907599</v>
      </c>
      <c r="E16">
        <v>0</v>
      </c>
      <c r="F16">
        <v>43.268540230331297</v>
      </c>
      <c r="G16">
        <v>1.2025654909558701</v>
      </c>
      <c r="H16" t="s">
        <v>396</v>
      </c>
      <c r="J16" t="s">
        <v>362</v>
      </c>
      <c r="K16">
        <v>3.5104444181462702</v>
      </c>
      <c r="L16" t="s">
        <v>398</v>
      </c>
    </row>
    <row r="17" spans="1:14" x14ac:dyDescent="0.3">
      <c r="A17" t="s">
        <v>370</v>
      </c>
      <c r="B17">
        <v>3.7589624798064101</v>
      </c>
      <c r="C17">
        <v>3.1983339036783798E-2</v>
      </c>
      <c r="D17">
        <v>117.52876944721901</v>
      </c>
      <c r="E17">
        <v>0</v>
      </c>
      <c r="F17">
        <v>42.903889227411703</v>
      </c>
      <c r="G17">
        <v>1.37220963515692</v>
      </c>
      <c r="H17" t="s">
        <v>400</v>
      </c>
      <c r="J17" t="s">
        <v>360</v>
      </c>
      <c r="K17">
        <v>3.4642672693493801</v>
      </c>
      <c r="L17" t="s">
        <v>397</v>
      </c>
    </row>
    <row r="21" spans="1:14" x14ac:dyDescent="0.3">
      <c r="A21" s="2" t="s">
        <v>350</v>
      </c>
      <c r="B21" s="2" t="s">
        <v>352</v>
      </c>
      <c r="C21" s="2" t="s">
        <v>353</v>
      </c>
      <c r="D21" s="2" t="s">
        <v>354</v>
      </c>
      <c r="E21" s="2" t="s">
        <v>355</v>
      </c>
      <c r="F21" s="2" t="s">
        <v>4</v>
      </c>
      <c r="G21" s="2" t="s">
        <v>356</v>
      </c>
    </row>
    <row r="22" spans="1:14" x14ac:dyDescent="0.3">
      <c r="A22" t="s">
        <v>372</v>
      </c>
      <c r="B22">
        <v>3.8065534453351599</v>
      </c>
      <c r="C22">
        <v>1.7199264009478101E-2</v>
      </c>
      <c r="D22">
        <v>221.320717167749</v>
      </c>
      <c r="E22">
        <v>0</v>
      </c>
      <c r="F22">
        <v>44.995093267948398</v>
      </c>
      <c r="G22">
        <v>0.77388248824653705</v>
      </c>
    </row>
    <row r="23" spans="1:14" x14ac:dyDescent="0.3">
      <c r="A23" t="s">
        <v>373</v>
      </c>
      <c r="B23">
        <v>3.54234452714919</v>
      </c>
      <c r="C23">
        <v>1.6788864049585399E-2</v>
      </c>
      <c r="D23">
        <v>210.99369895944</v>
      </c>
      <c r="E23">
        <v>0</v>
      </c>
      <c r="F23">
        <v>34.547822621735001</v>
      </c>
      <c r="G23">
        <v>0.58001869720549803</v>
      </c>
    </row>
    <row r="26" spans="1:14" x14ac:dyDescent="0.3">
      <c r="A26" s="2" t="s">
        <v>339</v>
      </c>
      <c r="B26" s="2" t="s">
        <v>350</v>
      </c>
      <c r="C26" s="2" t="s">
        <v>352</v>
      </c>
      <c r="D26" s="2" t="s">
        <v>353</v>
      </c>
      <c r="E26" s="2" t="s">
        <v>354</v>
      </c>
      <c r="F26" s="2" t="s">
        <v>355</v>
      </c>
      <c r="G26" s="2" t="s">
        <v>4</v>
      </c>
      <c r="H26" s="2" t="s">
        <v>356</v>
      </c>
      <c r="I26" s="2" t="s">
        <v>357</v>
      </c>
      <c r="K26" s="2" t="s">
        <v>339</v>
      </c>
      <c r="L26" s="2" t="s">
        <v>350</v>
      </c>
      <c r="M26" s="2" t="s">
        <v>352</v>
      </c>
      <c r="N26" s="2" t="s">
        <v>357</v>
      </c>
    </row>
    <row r="27" spans="1:14" x14ac:dyDescent="0.3">
      <c r="A27" t="s">
        <v>358</v>
      </c>
      <c r="B27" t="s">
        <v>372</v>
      </c>
      <c r="C27">
        <v>3.7004823095544301</v>
      </c>
      <c r="D27">
        <v>4.8564577824927999E-2</v>
      </c>
      <c r="E27">
        <v>76.197147700828793</v>
      </c>
      <c r="F27">
        <v>0</v>
      </c>
      <c r="G27">
        <v>40.466817186644398</v>
      </c>
      <c r="H27">
        <v>1.9652538925879199</v>
      </c>
      <c r="I27" t="s">
        <v>401</v>
      </c>
      <c r="K27" t="s">
        <v>366</v>
      </c>
      <c r="L27" t="s">
        <v>372</v>
      </c>
      <c r="M27">
        <v>3.9735746505774401</v>
      </c>
      <c r="N27" t="s">
        <v>405</v>
      </c>
    </row>
    <row r="28" spans="1:14" x14ac:dyDescent="0.3">
      <c r="A28" t="s">
        <v>360</v>
      </c>
      <c r="B28" t="s">
        <v>372</v>
      </c>
      <c r="C28">
        <v>3.4716394083775799</v>
      </c>
      <c r="D28">
        <v>4.99170920430713E-2</v>
      </c>
      <c r="E28">
        <v>69.548110001721497</v>
      </c>
      <c r="F28">
        <v>0</v>
      </c>
      <c r="G28">
        <v>32.189470899470599</v>
      </c>
      <c r="H28">
        <v>1.60680478170664</v>
      </c>
      <c r="I28" t="s">
        <v>402</v>
      </c>
      <c r="K28" t="s">
        <v>368</v>
      </c>
      <c r="L28" t="s">
        <v>372</v>
      </c>
      <c r="M28">
        <v>3.97341581728289</v>
      </c>
      <c r="N28" t="s">
        <v>405</v>
      </c>
    </row>
    <row r="29" spans="1:14" x14ac:dyDescent="0.3">
      <c r="A29" t="s">
        <v>362</v>
      </c>
      <c r="B29" t="s">
        <v>372</v>
      </c>
      <c r="C29">
        <v>3.71970279103191</v>
      </c>
      <c r="D29">
        <v>3.9745292211002502E-2</v>
      </c>
      <c r="E29">
        <v>93.588512855421897</v>
      </c>
      <c r="F29">
        <v>0</v>
      </c>
      <c r="G29">
        <v>41.252131782945597</v>
      </c>
      <c r="H29">
        <v>1.63957803203996</v>
      </c>
      <c r="I29" t="s">
        <v>403</v>
      </c>
      <c r="K29" t="s">
        <v>370</v>
      </c>
      <c r="L29" t="s">
        <v>372</v>
      </c>
      <c r="M29">
        <v>3.9652599225771601</v>
      </c>
      <c r="N29" t="s">
        <v>405</v>
      </c>
    </row>
    <row r="30" spans="1:14" x14ac:dyDescent="0.3">
      <c r="A30" t="s">
        <v>364</v>
      </c>
      <c r="B30" t="s">
        <v>372</v>
      </c>
      <c r="C30">
        <v>3.84179921794468</v>
      </c>
      <c r="D30">
        <v>5.20978197912393E-2</v>
      </c>
      <c r="E30">
        <v>73.742034375701607</v>
      </c>
      <c r="F30">
        <v>0</v>
      </c>
      <c r="G30">
        <v>46.609259259259098</v>
      </c>
      <c r="H30">
        <v>2.4282407894920301</v>
      </c>
      <c r="I30" t="s">
        <v>404</v>
      </c>
      <c r="K30" t="s">
        <v>358</v>
      </c>
      <c r="L30" t="s">
        <v>373</v>
      </c>
      <c r="M30">
        <v>3.8737887896532599</v>
      </c>
      <c r="N30" t="s">
        <v>406</v>
      </c>
    </row>
    <row r="31" spans="1:14" x14ac:dyDescent="0.3">
      <c r="A31" t="s">
        <v>366</v>
      </c>
      <c r="B31" t="s">
        <v>372</v>
      </c>
      <c r="C31">
        <v>3.9735746505774401</v>
      </c>
      <c r="D31">
        <v>3.8122053391013197E-2</v>
      </c>
      <c r="E31">
        <v>104.232964835891</v>
      </c>
      <c r="F31">
        <v>0</v>
      </c>
      <c r="G31">
        <v>53.174270948689298</v>
      </c>
      <c r="H31">
        <v>2.0271123961341302</v>
      </c>
      <c r="I31" t="s">
        <v>405</v>
      </c>
      <c r="K31" t="s">
        <v>364</v>
      </c>
      <c r="L31" t="s">
        <v>372</v>
      </c>
      <c r="M31">
        <v>3.84179921794468</v>
      </c>
      <c r="N31" t="s">
        <v>404</v>
      </c>
    </row>
    <row r="32" spans="1:14" x14ac:dyDescent="0.3">
      <c r="A32" t="s">
        <v>368</v>
      </c>
      <c r="B32" t="s">
        <v>372</v>
      </c>
      <c r="C32">
        <v>3.97341581728289</v>
      </c>
      <c r="D32">
        <v>3.8574139599151701E-2</v>
      </c>
      <c r="E32">
        <v>103.007244194509</v>
      </c>
      <c r="F32">
        <v>0</v>
      </c>
      <c r="G32">
        <v>53.165825774754097</v>
      </c>
      <c r="H32">
        <v>2.0508259853395399</v>
      </c>
      <c r="I32" t="s">
        <v>405</v>
      </c>
      <c r="K32" t="s">
        <v>362</v>
      </c>
      <c r="L32" t="s">
        <v>372</v>
      </c>
      <c r="M32">
        <v>3.71970279103191</v>
      </c>
      <c r="N32" t="s">
        <v>403</v>
      </c>
    </row>
    <row r="33" spans="1:14" x14ac:dyDescent="0.3">
      <c r="A33" t="s">
        <v>370</v>
      </c>
      <c r="B33" t="s">
        <v>372</v>
      </c>
      <c r="C33">
        <v>3.9652599225771601</v>
      </c>
      <c r="D33">
        <v>4.9087257644611297E-2</v>
      </c>
      <c r="E33">
        <v>80.779821746926601</v>
      </c>
      <c r="F33">
        <v>0</v>
      </c>
      <c r="G33">
        <v>52.733974358974002</v>
      </c>
      <c r="H33">
        <v>2.58856618598328</v>
      </c>
      <c r="I33" t="s">
        <v>405</v>
      </c>
      <c r="K33" t="s">
        <v>358</v>
      </c>
      <c r="L33" t="s">
        <v>372</v>
      </c>
      <c r="M33">
        <v>3.7004823095544301</v>
      </c>
      <c r="N33" t="s">
        <v>401</v>
      </c>
    </row>
    <row r="34" spans="1:14" x14ac:dyDescent="0.3">
      <c r="A34" t="s">
        <v>358</v>
      </c>
      <c r="B34" t="s">
        <v>373</v>
      </c>
      <c r="C34">
        <v>3.8737887896532599</v>
      </c>
      <c r="D34">
        <v>4.9793772540761803E-2</v>
      </c>
      <c r="E34">
        <v>77.796651910279095</v>
      </c>
      <c r="F34">
        <v>0</v>
      </c>
      <c r="G34">
        <v>48.124374236873898</v>
      </c>
      <c r="H34">
        <v>2.3962941444173902</v>
      </c>
      <c r="I34" t="s">
        <v>406</v>
      </c>
      <c r="K34" t="s">
        <v>366</v>
      </c>
      <c r="L34" t="s">
        <v>373</v>
      </c>
      <c r="M34">
        <v>3.6436802882889001</v>
      </c>
      <c r="N34" t="s">
        <v>409</v>
      </c>
    </row>
    <row r="35" spans="1:14" x14ac:dyDescent="0.3">
      <c r="A35" t="s">
        <v>360</v>
      </c>
      <c r="B35" t="s">
        <v>373</v>
      </c>
      <c r="C35">
        <v>3.4568951303211901</v>
      </c>
      <c r="D35">
        <v>5.27793879495385E-2</v>
      </c>
      <c r="E35">
        <v>65.4970674087064</v>
      </c>
      <c r="F35">
        <v>0</v>
      </c>
      <c r="G35">
        <v>31.718342151675301</v>
      </c>
      <c r="H35">
        <v>1.6740746855394699</v>
      </c>
      <c r="I35" t="s">
        <v>402</v>
      </c>
      <c r="K35" t="s">
        <v>368</v>
      </c>
      <c r="L35" t="s">
        <v>373</v>
      </c>
      <c r="M35">
        <v>3.5614358174540302</v>
      </c>
      <c r="N35" t="s">
        <v>410</v>
      </c>
    </row>
    <row r="36" spans="1:14" x14ac:dyDescent="0.3">
      <c r="A36" t="s">
        <v>362</v>
      </c>
      <c r="B36" t="s">
        <v>373</v>
      </c>
      <c r="C36">
        <v>3.3011860452606401</v>
      </c>
      <c r="D36">
        <v>4.2301791828226999E-2</v>
      </c>
      <c r="E36">
        <v>78.038917563246898</v>
      </c>
      <c r="F36">
        <v>0</v>
      </c>
      <c r="G36">
        <v>27.144814814814701</v>
      </c>
      <c r="H36">
        <v>1.1482743055120599</v>
      </c>
      <c r="I36" t="s">
        <v>407</v>
      </c>
      <c r="K36" t="s">
        <v>370</v>
      </c>
      <c r="L36" t="s">
        <v>373</v>
      </c>
      <c r="M36">
        <v>3.5526650370356601</v>
      </c>
      <c r="N36" t="s">
        <v>410</v>
      </c>
    </row>
    <row r="37" spans="1:14" x14ac:dyDescent="0.3">
      <c r="A37" t="s">
        <v>364</v>
      </c>
      <c r="B37" t="s">
        <v>373</v>
      </c>
      <c r="C37">
        <v>3.4067605820306301</v>
      </c>
      <c r="D37">
        <v>4.3827454749659801E-2</v>
      </c>
      <c r="E37">
        <v>77.731198434631295</v>
      </c>
      <c r="F37">
        <v>0</v>
      </c>
      <c r="G37">
        <v>30.1673611111109</v>
      </c>
      <c r="H37">
        <v>1.3221586540138599</v>
      </c>
      <c r="I37" t="s">
        <v>408</v>
      </c>
      <c r="K37" t="s">
        <v>360</v>
      </c>
      <c r="L37" t="s">
        <v>372</v>
      </c>
      <c r="M37">
        <v>3.4716394083775799</v>
      </c>
      <c r="N37" t="s">
        <v>402</v>
      </c>
    </row>
    <row r="38" spans="1:14" x14ac:dyDescent="0.3">
      <c r="A38" t="s">
        <v>366</v>
      </c>
      <c r="B38" t="s">
        <v>373</v>
      </c>
      <c r="C38">
        <v>3.6436802882889001</v>
      </c>
      <c r="D38">
        <v>3.9395805966584797E-2</v>
      </c>
      <c r="E38">
        <v>92.489040365856198</v>
      </c>
      <c r="F38">
        <v>0</v>
      </c>
      <c r="G38">
        <v>38.232283950617102</v>
      </c>
      <c r="H38">
        <v>1.5061916401778801</v>
      </c>
      <c r="I38" t="s">
        <v>409</v>
      </c>
      <c r="K38" t="s">
        <v>360</v>
      </c>
      <c r="L38" t="s">
        <v>373</v>
      </c>
      <c r="M38">
        <v>3.4568951303211901</v>
      </c>
      <c r="N38" t="s">
        <v>402</v>
      </c>
    </row>
    <row r="39" spans="1:14" x14ac:dyDescent="0.3">
      <c r="A39" t="s">
        <v>368</v>
      </c>
      <c r="B39" t="s">
        <v>373</v>
      </c>
      <c r="C39">
        <v>3.5614358174540302</v>
      </c>
      <c r="D39">
        <v>4.0023172305061597E-2</v>
      </c>
      <c r="E39">
        <v>88.984346125997305</v>
      </c>
      <c r="F39">
        <v>0</v>
      </c>
      <c r="G39">
        <v>35.213721340387799</v>
      </c>
      <c r="H39">
        <v>1.4093648367087701</v>
      </c>
      <c r="I39" t="s">
        <v>410</v>
      </c>
      <c r="K39" t="s">
        <v>364</v>
      </c>
      <c r="L39" t="s">
        <v>373</v>
      </c>
      <c r="M39">
        <v>3.4067605820306301</v>
      </c>
      <c r="N39" t="s">
        <v>408</v>
      </c>
    </row>
    <row r="40" spans="1:14" x14ac:dyDescent="0.3">
      <c r="A40" t="s">
        <v>370</v>
      </c>
      <c r="B40" t="s">
        <v>373</v>
      </c>
      <c r="C40">
        <v>3.5526650370356601</v>
      </c>
      <c r="D40">
        <v>4.10143516430405E-2</v>
      </c>
      <c r="E40">
        <v>86.620046269547501</v>
      </c>
      <c r="F40">
        <v>0</v>
      </c>
      <c r="G40">
        <v>34.906220007382501</v>
      </c>
      <c r="H40">
        <v>1.43165598191212</v>
      </c>
      <c r="I40" t="s">
        <v>410</v>
      </c>
      <c r="K40" t="s">
        <v>362</v>
      </c>
      <c r="L40" t="s">
        <v>373</v>
      </c>
      <c r="M40">
        <v>3.3011860452606401</v>
      </c>
      <c r="N40" t="s">
        <v>407</v>
      </c>
    </row>
  </sheetData>
  <conditionalFormatting sqref="E5:E7">
    <cfRule type="cellIs" dxfId="24" priority="1" operator="between">
      <formula>0.01</formula>
      <formula>0.05</formula>
    </cfRule>
    <cfRule type="cellIs" dxfId="23" priority="2" operator="between">
      <formula>0.001</formula>
      <formula>0.01</formula>
    </cfRule>
    <cfRule type="cellIs" dxfId="22" priority="3" operator="lessThan">
      <formula>0.001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7"/>
  <sheetViews>
    <sheetView workbookViewId="0">
      <selection activeCell="J4" sqref="J4:Q4"/>
    </sheetView>
  </sheetViews>
  <sheetFormatPr defaultColWidth="11.44140625" defaultRowHeight="14.4" x14ac:dyDescent="0.3"/>
  <sheetData>
    <row r="1" spans="1:21" x14ac:dyDescent="0.3">
      <c r="A1" t="s">
        <v>168</v>
      </c>
      <c r="B1" t="s">
        <v>169</v>
      </c>
      <c r="C1" t="s">
        <v>219</v>
      </c>
      <c r="D1" t="s">
        <v>220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229</v>
      </c>
      <c r="N1" t="s">
        <v>230</v>
      </c>
      <c r="O1" t="s">
        <v>231</v>
      </c>
      <c r="P1" t="s">
        <v>232</v>
      </c>
      <c r="Q1" t="s">
        <v>233</v>
      </c>
      <c r="R1" t="s">
        <v>234</v>
      </c>
      <c r="S1" t="s">
        <v>235</v>
      </c>
      <c r="T1" t="s">
        <v>236</v>
      </c>
      <c r="U1" t="s">
        <v>237</v>
      </c>
    </row>
    <row r="2" spans="1:21" x14ac:dyDescent="0.3">
      <c r="A2" t="s">
        <v>189</v>
      </c>
      <c r="B2" t="s">
        <v>190</v>
      </c>
      <c r="I2">
        <v>57.73</v>
      </c>
      <c r="S2">
        <v>51.57</v>
      </c>
      <c r="T2">
        <v>37.64</v>
      </c>
    </row>
    <row r="3" spans="1:21" x14ac:dyDescent="0.3">
      <c r="A3" t="s">
        <v>191</v>
      </c>
      <c r="B3" t="s">
        <v>192</v>
      </c>
      <c r="C3">
        <v>38.11</v>
      </c>
      <c r="D3">
        <v>43.65</v>
      </c>
      <c r="E3">
        <v>42.79</v>
      </c>
      <c r="F3">
        <v>45.58</v>
      </c>
      <c r="G3">
        <v>56.71</v>
      </c>
      <c r="H3">
        <v>38.4</v>
      </c>
      <c r="I3">
        <v>60.2</v>
      </c>
      <c r="J3">
        <v>55.85</v>
      </c>
      <c r="K3">
        <v>45.23</v>
      </c>
      <c r="L3">
        <v>55.48</v>
      </c>
      <c r="M3">
        <v>48.03</v>
      </c>
      <c r="N3">
        <v>58.11</v>
      </c>
      <c r="O3">
        <v>52.35</v>
      </c>
      <c r="P3">
        <v>50.23</v>
      </c>
      <c r="R3">
        <v>34.19</v>
      </c>
      <c r="S3">
        <v>44.96</v>
      </c>
      <c r="T3">
        <v>33.43</v>
      </c>
      <c r="U3">
        <v>30.35</v>
      </c>
    </row>
    <row r="4" spans="1:21" x14ac:dyDescent="0.3">
      <c r="A4" t="s">
        <v>193</v>
      </c>
      <c r="B4" t="s">
        <v>194</v>
      </c>
      <c r="I4">
        <v>63.76</v>
      </c>
      <c r="S4">
        <v>44.73</v>
      </c>
      <c r="T4">
        <v>38.49</v>
      </c>
    </row>
    <row r="5" spans="1:21" x14ac:dyDescent="0.3">
      <c r="A5" t="s">
        <v>195</v>
      </c>
      <c r="B5" t="s">
        <v>196</v>
      </c>
      <c r="C5">
        <v>26.1</v>
      </c>
      <c r="D5">
        <v>24.52</v>
      </c>
      <c r="E5">
        <v>31.03</v>
      </c>
      <c r="F5">
        <v>35.14</v>
      </c>
      <c r="G5">
        <v>29.55</v>
      </c>
      <c r="H5">
        <v>26.27</v>
      </c>
      <c r="I5">
        <v>47.27</v>
      </c>
      <c r="J5">
        <v>33.33</v>
      </c>
      <c r="K5">
        <v>31.97</v>
      </c>
      <c r="L5">
        <v>30.59</v>
      </c>
      <c r="M5">
        <v>35.18</v>
      </c>
      <c r="N5">
        <v>37.4</v>
      </c>
      <c r="O5">
        <v>35.17</v>
      </c>
      <c r="P5">
        <v>31.94</v>
      </c>
      <c r="Q5">
        <v>32.53</v>
      </c>
      <c r="R5">
        <v>54.1</v>
      </c>
      <c r="S5">
        <v>45.46</v>
      </c>
      <c r="T5">
        <v>33.65</v>
      </c>
      <c r="U5">
        <v>28.8</v>
      </c>
    </row>
    <row r="10" spans="1:21" x14ac:dyDescent="0.3">
      <c r="A10" t="s">
        <v>58</v>
      </c>
      <c r="B10" t="s">
        <v>30</v>
      </c>
      <c r="C10" t="s">
        <v>31</v>
      </c>
      <c r="D10" t="s">
        <v>61</v>
      </c>
      <c r="E10" t="s">
        <v>62</v>
      </c>
      <c r="F10" t="s">
        <v>63</v>
      </c>
      <c r="G10" t="s">
        <v>59</v>
      </c>
      <c r="H10" t="s">
        <v>60</v>
      </c>
    </row>
    <row r="11" spans="1:21" x14ac:dyDescent="0.3">
      <c r="A11" t="s">
        <v>2</v>
      </c>
      <c r="B11">
        <v>24.52</v>
      </c>
      <c r="C11">
        <v>26.27</v>
      </c>
      <c r="D11">
        <v>31.97</v>
      </c>
      <c r="E11">
        <v>30.59</v>
      </c>
      <c r="F11">
        <v>31.94</v>
      </c>
      <c r="G11">
        <v>34.19</v>
      </c>
      <c r="H11">
        <v>28.8</v>
      </c>
    </row>
    <row r="12" spans="1:21" x14ac:dyDescent="0.3">
      <c r="A12" t="s">
        <v>3</v>
      </c>
      <c r="B12">
        <v>43.65</v>
      </c>
      <c r="C12">
        <v>56.71</v>
      </c>
      <c r="D12">
        <v>63.76</v>
      </c>
      <c r="E12">
        <v>58.11</v>
      </c>
      <c r="F12">
        <v>52.35</v>
      </c>
      <c r="G12">
        <v>54.1</v>
      </c>
      <c r="H12">
        <v>38.49</v>
      </c>
    </row>
    <row r="13" spans="1:21" x14ac:dyDescent="0.3">
      <c r="A13" t="s">
        <v>4</v>
      </c>
      <c r="B13">
        <v>34.369999999999997</v>
      </c>
      <c r="C13">
        <v>38.61</v>
      </c>
      <c r="D13">
        <v>49.42</v>
      </c>
      <c r="E13">
        <v>44.13</v>
      </c>
      <c r="F13">
        <v>40.44</v>
      </c>
      <c r="G13">
        <v>45.84</v>
      </c>
      <c r="H13">
        <v>33.729999999999997</v>
      </c>
    </row>
    <row r="15" spans="1:21" x14ac:dyDescent="0.3">
      <c r="B15" t="s">
        <v>197</v>
      </c>
      <c r="C15" t="s">
        <v>30</v>
      </c>
      <c r="D15" t="s">
        <v>31</v>
      </c>
      <c r="E15" t="s">
        <v>61</v>
      </c>
      <c r="F15" t="s">
        <v>62</v>
      </c>
      <c r="G15" t="s">
        <v>63</v>
      </c>
      <c r="H15" t="s">
        <v>59</v>
      </c>
      <c r="I15" t="s">
        <v>60</v>
      </c>
    </row>
    <row r="16" spans="1:21" x14ac:dyDescent="0.3">
      <c r="B16" t="s">
        <v>198</v>
      </c>
      <c r="C16">
        <v>27.22</v>
      </c>
      <c r="D16">
        <v>30.32</v>
      </c>
      <c r="E16">
        <v>37.520000000000003</v>
      </c>
      <c r="F16">
        <v>34.39</v>
      </c>
      <c r="G16">
        <v>33.21</v>
      </c>
      <c r="H16">
        <v>49.78</v>
      </c>
      <c r="I16">
        <v>31.23</v>
      </c>
    </row>
    <row r="17" spans="2:9" x14ac:dyDescent="0.3">
      <c r="B17" t="s">
        <v>199</v>
      </c>
      <c r="C17">
        <v>41.52</v>
      </c>
      <c r="D17">
        <v>46.9</v>
      </c>
      <c r="E17">
        <v>53.76</v>
      </c>
      <c r="F17">
        <v>53.87</v>
      </c>
      <c r="G17">
        <v>51.29</v>
      </c>
      <c r="H17">
        <v>39.58</v>
      </c>
      <c r="I17">
        <v>31.89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4:R131"/>
  <sheetViews>
    <sheetView workbookViewId="0">
      <selection activeCell="G7" sqref="G7"/>
    </sheetView>
  </sheetViews>
  <sheetFormatPr defaultColWidth="11.44140625" defaultRowHeight="14.4" x14ac:dyDescent="0.3"/>
  <sheetData>
    <row r="4" spans="1:8" x14ac:dyDescent="0.3">
      <c r="A4" s="2" t="s">
        <v>345</v>
      </c>
      <c r="B4" s="2" t="s">
        <v>383</v>
      </c>
      <c r="C4" s="2" t="s">
        <v>384</v>
      </c>
      <c r="D4" s="2" t="s">
        <v>385</v>
      </c>
      <c r="E4" s="2" t="s">
        <v>386</v>
      </c>
      <c r="F4" s="2" t="s">
        <v>387</v>
      </c>
    </row>
    <row r="5" spans="1:8" x14ac:dyDescent="0.3">
      <c r="A5" t="s">
        <v>339</v>
      </c>
      <c r="B5">
        <v>6</v>
      </c>
      <c r="C5">
        <v>136</v>
      </c>
      <c r="D5">
        <v>0.95399999999999996</v>
      </c>
      <c r="E5">
        <v>5.7240000000000002</v>
      </c>
      <c r="F5">
        <v>0.45487788870677498</v>
      </c>
    </row>
    <row r="6" spans="1:8" x14ac:dyDescent="0.3">
      <c r="A6" t="s">
        <v>169</v>
      </c>
      <c r="B6">
        <v>11</v>
      </c>
      <c r="C6">
        <v>136</v>
      </c>
      <c r="D6">
        <v>0.32400000000000001</v>
      </c>
      <c r="E6">
        <v>3.5640000000000001</v>
      </c>
      <c r="F6">
        <v>0.98108094232012399</v>
      </c>
    </row>
    <row r="7" spans="1:8" x14ac:dyDescent="0.3">
      <c r="A7" t="s">
        <v>411</v>
      </c>
      <c r="B7">
        <v>66</v>
      </c>
      <c r="C7">
        <v>136</v>
      </c>
      <c r="D7">
        <v>0.26300000000000001</v>
      </c>
      <c r="E7">
        <v>17.358000000000001</v>
      </c>
      <c r="F7">
        <v>0.99999999975732001</v>
      </c>
    </row>
    <row r="10" spans="1:8" x14ac:dyDescent="0.3">
      <c r="A10" s="2" t="s">
        <v>339</v>
      </c>
      <c r="B10" s="2" t="s">
        <v>352</v>
      </c>
      <c r="C10" s="2" t="s">
        <v>353</v>
      </c>
      <c r="D10" s="2" t="s">
        <v>354</v>
      </c>
      <c r="E10" s="2" t="s">
        <v>355</v>
      </c>
      <c r="F10" s="2" t="s">
        <v>4</v>
      </c>
      <c r="G10" s="2" t="s">
        <v>356</v>
      </c>
      <c r="H10" s="2" t="s">
        <v>357</v>
      </c>
    </row>
    <row r="11" spans="1:8" x14ac:dyDescent="0.3">
      <c r="A11" t="s">
        <v>358</v>
      </c>
      <c r="B11">
        <v>-7.5062316206575899E-2</v>
      </c>
      <c r="C11">
        <v>0.45966292646002599</v>
      </c>
      <c r="D11">
        <v>-0.163298608362107</v>
      </c>
      <c r="E11">
        <v>0.87028332956228804</v>
      </c>
      <c r="F11">
        <v>0.48124322697551403</v>
      </c>
      <c r="G11">
        <v>0.11475401459727699</v>
      </c>
      <c r="H11" t="s">
        <v>424</v>
      </c>
    </row>
    <row r="12" spans="1:8" x14ac:dyDescent="0.3">
      <c r="A12" t="s">
        <v>360</v>
      </c>
      <c r="B12">
        <v>-0.104397159948348</v>
      </c>
      <c r="C12">
        <v>0.47378060968538899</v>
      </c>
      <c r="D12">
        <v>-0.22034916122395201</v>
      </c>
      <c r="E12">
        <v>0.82559923576692795</v>
      </c>
      <c r="F12">
        <v>0.47392438838012801</v>
      </c>
      <c r="G12">
        <v>0.118123011207934</v>
      </c>
      <c r="H12" t="s">
        <v>424</v>
      </c>
    </row>
    <row r="13" spans="1:8" x14ac:dyDescent="0.3">
      <c r="A13" t="s">
        <v>362</v>
      </c>
      <c r="B13">
        <v>-0.45204687096896601</v>
      </c>
      <c r="C13">
        <v>0.407777673463385</v>
      </c>
      <c r="D13">
        <v>-1.10856209249905</v>
      </c>
      <c r="E13">
        <v>0.267619138827773</v>
      </c>
      <c r="F13">
        <v>0.38887421449452603</v>
      </c>
      <c r="G13">
        <v>9.6908796259635596E-2</v>
      </c>
      <c r="H13" t="s">
        <v>424</v>
      </c>
    </row>
    <row r="14" spans="1:8" x14ac:dyDescent="0.3">
      <c r="A14" t="s">
        <v>364</v>
      </c>
      <c r="B14">
        <v>0.56544645648672398</v>
      </c>
      <c r="C14">
        <v>0.36350688196639003</v>
      </c>
      <c r="D14">
        <v>1.5555316406334401</v>
      </c>
      <c r="E14">
        <v>0.11981950501971</v>
      </c>
      <c r="F14">
        <v>0.63771180624141199</v>
      </c>
      <c r="G14">
        <v>8.3982979114557793E-2</v>
      </c>
      <c r="H14" t="s">
        <v>424</v>
      </c>
    </row>
    <row r="15" spans="1:8" x14ac:dyDescent="0.3">
      <c r="A15" t="s">
        <v>366</v>
      </c>
      <c r="B15">
        <v>-0.60502197564926197</v>
      </c>
      <c r="C15">
        <v>0.39614828345876002</v>
      </c>
      <c r="D15">
        <v>-1.52726138396166</v>
      </c>
      <c r="E15">
        <v>0.126696027765627</v>
      </c>
      <c r="F15">
        <v>0.35319558712249099</v>
      </c>
      <c r="G15">
        <v>9.0499467014880805E-2</v>
      </c>
      <c r="H15" t="s">
        <v>424</v>
      </c>
    </row>
    <row r="16" spans="1:8" x14ac:dyDescent="0.3">
      <c r="A16" t="s">
        <v>368</v>
      </c>
      <c r="B16">
        <v>-4.7670312093167704</v>
      </c>
      <c r="C16">
        <v>1609.85238890339</v>
      </c>
      <c r="D16">
        <v>-2.9611604406563001E-3</v>
      </c>
      <c r="E16">
        <v>0.99763733925516096</v>
      </c>
      <c r="F16">
        <v>8.4338590610290101E-3</v>
      </c>
      <c r="G16">
        <v>13.4627593910015</v>
      </c>
      <c r="H16" t="s">
        <v>424</v>
      </c>
    </row>
    <row r="17" spans="1:18" x14ac:dyDescent="0.3">
      <c r="A17" t="s">
        <v>370</v>
      </c>
      <c r="B17">
        <v>-6.0999820391219002</v>
      </c>
      <c r="C17">
        <v>5064.5798380467704</v>
      </c>
      <c r="D17">
        <v>-1.20443990107469E-3</v>
      </c>
      <c r="E17">
        <v>0.999038996230868</v>
      </c>
      <c r="F17">
        <v>2.2378886254118902E-3</v>
      </c>
      <c r="G17">
        <v>11.3086014593313</v>
      </c>
      <c r="H17" t="s">
        <v>424</v>
      </c>
    </row>
    <row r="20" spans="1:18" x14ac:dyDescent="0.3">
      <c r="A20" s="2" t="s">
        <v>169</v>
      </c>
      <c r="B20" s="2" t="s">
        <v>352</v>
      </c>
      <c r="C20" s="2" t="s">
        <v>353</v>
      </c>
      <c r="D20" s="2" t="s">
        <v>354</v>
      </c>
      <c r="E20" s="2" t="s">
        <v>355</v>
      </c>
      <c r="F20" s="2" t="s">
        <v>4</v>
      </c>
      <c r="G20" s="2" t="s">
        <v>356</v>
      </c>
      <c r="J20" s="2" t="s">
        <v>339</v>
      </c>
      <c r="K20" s="2" t="s">
        <v>169</v>
      </c>
      <c r="L20" s="2" t="s">
        <v>352</v>
      </c>
      <c r="M20" s="2" t="s">
        <v>353</v>
      </c>
      <c r="N20" s="2" t="s">
        <v>354</v>
      </c>
      <c r="O20" s="2" t="s">
        <v>355</v>
      </c>
      <c r="P20" s="2" t="s">
        <v>4</v>
      </c>
      <c r="Q20" s="2" t="s">
        <v>356</v>
      </c>
      <c r="R20" s="2" t="s">
        <v>357</v>
      </c>
    </row>
    <row r="21" spans="1:18" x14ac:dyDescent="0.3">
      <c r="A21" t="s">
        <v>412</v>
      </c>
      <c r="B21">
        <v>0.29704968223417799</v>
      </c>
      <c r="C21">
        <v>0.52624114658938803</v>
      </c>
      <c r="D21">
        <v>0.56447445084707204</v>
      </c>
      <c r="E21">
        <v>0.572431283103641</v>
      </c>
      <c r="F21">
        <v>0.57372112919724605</v>
      </c>
      <c r="G21">
        <v>0.12870026869048201</v>
      </c>
      <c r="J21" t="s">
        <v>358</v>
      </c>
      <c r="K21" t="s">
        <v>412</v>
      </c>
      <c r="L21">
        <v>-3.9337438506955002E-6</v>
      </c>
      <c r="M21">
        <v>1.4142136213014</v>
      </c>
      <c r="N21">
        <v>-2.78157683637324E-6</v>
      </c>
      <c r="O21">
        <v>0.99999778062278799</v>
      </c>
      <c r="P21">
        <v>0.499999016564037</v>
      </c>
      <c r="Q21">
        <v>0.35355340532398299</v>
      </c>
      <c r="R21" t="s">
        <v>424</v>
      </c>
    </row>
    <row r="22" spans="1:18" x14ac:dyDescent="0.3">
      <c r="A22" t="s">
        <v>413</v>
      </c>
      <c r="B22">
        <v>0.10426277648615601</v>
      </c>
      <c r="C22">
        <v>0.56919299119357902</v>
      </c>
      <c r="D22">
        <v>0.18317649391205601</v>
      </c>
      <c r="E22">
        <v>0.85465953744509704</v>
      </c>
      <c r="F22">
        <v>0.52604210700932796</v>
      </c>
      <c r="G22">
        <v>0.14191222604240999</v>
      </c>
      <c r="J22" t="s">
        <v>360</v>
      </c>
      <c r="K22" t="s">
        <v>412</v>
      </c>
      <c r="L22">
        <v>1.38625608201835</v>
      </c>
      <c r="M22">
        <v>1.7677466468417899</v>
      </c>
      <c r="N22">
        <v>0.78419386878487096</v>
      </c>
      <c r="O22">
        <v>0.43292636222341402</v>
      </c>
      <c r="P22">
        <v>0.79999387527342003</v>
      </c>
      <c r="Q22">
        <v>0.28284595960730002</v>
      </c>
      <c r="R22" t="s">
        <v>424</v>
      </c>
    </row>
    <row r="23" spans="1:18" x14ac:dyDescent="0.3">
      <c r="A23" t="s">
        <v>414</v>
      </c>
      <c r="B23">
        <v>-0.29706972436156998</v>
      </c>
      <c r="C23">
        <v>0.59503968230045301</v>
      </c>
      <c r="D23">
        <v>-0.49924355164530099</v>
      </c>
      <c r="E23">
        <v>0.61760781661659203</v>
      </c>
      <c r="F23">
        <v>0.42627396920320099</v>
      </c>
      <c r="G23">
        <v>0.14552556594872801</v>
      </c>
      <c r="J23" t="s">
        <v>362</v>
      </c>
      <c r="K23" t="s">
        <v>412</v>
      </c>
      <c r="L23">
        <v>0.40550667696800702</v>
      </c>
      <c r="M23">
        <v>1.1785162443802899</v>
      </c>
      <c r="N23">
        <v>0.34408238231899801</v>
      </c>
      <c r="O23">
        <v>0.73078433177324498</v>
      </c>
      <c r="P23">
        <v>0.60000997648488996</v>
      </c>
      <c r="Q23">
        <v>0.28284154704407</v>
      </c>
      <c r="R23" t="s">
        <v>424</v>
      </c>
    </row>
    <row r="24" spans="1:18" x14ac:dyDescent="0.3">
      <c r="A24" t="s">
        <v>415</v>
      </c>
      <c r="B24">
        <v>-0.187855493810723</v>
      </c>
      <c r="C24">
        <v>0.59241280993562995</v>
      </c>
      <c r="D24">
        <v>-0.31710234934172798</v>
      </c>
      <c r="E24">
        <v>0.75116594229428602</v>
      </c>
      <c r="F24">
        <v>0.45317375258752901</v>
      </c>
      <c r="G24">
        <v>0.146804220428149</v>
      </c>
      <c r="J24" t="s">
        <v>364</v>
      </c>
      <c r="K24" t="s">
        <v>412</v>
      </c>
      <c r="L24">
        <v>0.69322144504716599</v>
      </c>
      <c r="M24">
        <v>1.22476006542859</v>
      </c>
      <c r="N24">
        <v>0.56600591790570898</v>
      </c>
      <c r="O24">
        <v>0.57138975758245203</v>
      </c>
      <c r="P24">
        <v>0.66668316968177699</v>
      </c>
      <c r="Q24">
        <v>0.27216216568372398</v>
      </c>
      <c r="R24" t="s">
        <v>424</v>
      </c>
    </row>
    <row r="25" spans="1:18" x14ac:dyDescent="0.3">
      <c r="A25" t="s">
        <v>416</v>
      </c>
      <c r="B25">
        <v>-6.5952458577353701</v>
      </c>
      <c r="C25">
        <v>7533.4384831653497</v>
      </c>
      <c r="D25">
        <v>-8.7546289419811098E-4</v>
      </c>
      <c r="E25">
        <v>0.99930148176239197</v>
      </c>
      <c r="F25">
        <v>1.3649850875677399E-3</v>
      </c>
      <c r="G25">
        <v>10.2689950034035</v>
      </c>
      <c r="J25" t="s">
        <v>366</v>
      </c>
      <c r="K25" t="s">
        <v>412</v>
      </c>
      <c r="L25">
        <v>1.3862683573699901</v>
      </c>
      <c r="M25">
        <v>1.4433644083325801</v>
      </c>
      <c r="N25">
        <v>0.96044238680615102</v>
      </c>
      <c r="O25">
        <v>0.33683261393995101</v>
      </c>
      <c r="P25">
        <v>0.79999583936755903</v>
      </c>
      <c r="Q25">
        <v>0.230941908493496</v>
      </c>
      <c r="R25" t="s">
        <v>424</v>
      </c>
    </row>
    <row r="26" spans="1:18" x14ac:dyDescent="0.3">
      <c r="A26" t="s">
        <v>417</v>
      </c>
      <c r="B26">
        <v>-0.67805666985891</v>
      </c>
      <c r="C26">
        <v>0.59478899146269204</v>
      </c>
      <c r="D26">
        <v>-1.1399953253866499</v>
      </c>
      <c r="E26">
        <v>0.25428824864753702</v>
      </c>
      <c r="F26">
        <v>0.33669517166811902</v>
      </c>
      <c r="G26">
        <v>0.13283513730075699</v>
      </c>
      <c r="J26" t="s">
        <v>368</v>
      </c>
      <c r="K26" t="s">
        <v>412</v>
      </c>
      <c r="L26">
        <v>-0.405473874400754</v>
      </c>
      <c r="M26">
        <v>1.17851237831828</v>
      </c>
      <c r="N26">
        <v>-0.34405567719141</v>
      </c>
      <c r="O26">
        <v>0.73080441474922897</v>
      </c>
      <c r="P26">
        <v>0.39999789609162301</v>
      </c>
      <c r="Q26">
        <v>0.282842474894757</v>
      </c>
      <c r="R26" t="s">
        <v>424</v>
      </c>
    </row>
    <row r="27" spans="1:18" x14ac:dyDescent="0.3">
      <c r="A27" t="s">
        <v>418</v>
      </c>
      <c r="B27">
        <v>-3.9099800052438698</v>
      </c>
      <c r="C27">
        <v>2867.9049135434402</v>
      </c>
      <c r="D27">
        <v>-1.3633576157909999E-3</v>
      </c>
      <c r="E27">
        <v>0.99891219834449796</v>
      </c>
      <c r="F27">
        <v>1.9647155065874101E-2</v>
      </c>
      <c r="G27">
        <v>55.239130561100701</v>
      </c>
      <c r="J27" t="s">
        <v>370</v>
      </c>
      <c r="K27" t="s">
        <v>412</v>
      </c>
      <c r="L27">
        <v>-1.3864269776196601</v>
      </c>
      <c r="M27">
        <v>1.44343309595548</v>
      </c>
      <c r="N27">
        <v>-0.96050657387893701</v>
      </c>
      <c r="O27">
        <v>0.33680032402775301</v>
      </c>
      <c r="P27">
        <v>0.199978782204216</v>
      </c>
      <c r="Q27">
        <v>0.23093091882185601</v>
      </c>
      <c r="R27" t="s">
        <v>424</v>
      </c>
    </row>
    <row r="28" spans="1:18" x14ac:dyDescent="0.3">
      <c r="A28" t="s">
        <v>419</v>
      </c>
      <c r="B28">
        <v>-3.3878635514931998</v>
      </c>
      <c r="C28">
        <v>1946.9662187579499</v>
      </c>
      <c r="D28">
        <v>-1.74007310391572E-3</v>
      </c>
      <c r="E28">
        <v>0.998611623236351</v>
      </c>
      <c r="F28">
        <v>3.2676919220389802E-2</v>
      </c>
      <c r="G28">
        <v>61.5419242223156</v>
      </c>
      <c r="J28" t="s">
        <v>358</v>
      </c>
      <c r="K28" t="s">
        <v>413</v>
      </c>
      <c r="L28">
        <v>0.48553465617557801</v>
      </c>
      <c r="M28">
        <v>1.45609271818987</v>
      </c>
      <c r="N28">
        <v>0.33345037037144698</v>
      </c>
      <c r="O28">
        <v>0.73879434645639097</v>
      </c>
      <c r="P28">
        <v>0.61905394873479302</v>
      </c>
      <c r="Q28">
        <v>0.34338475038961802</v>
      </c>
      <c r="R28" t="s">
        <v>424</v>
      </c>
    </row>
    <row r="29" spans="1:18" x14ac:dyDescent="0.3">
      <c r="A29" t="s">
        <v>420</v>
      </c>
      <c r="B29">
        <v>-0.15919270354708301</v>
      </c>
      <c r="C29">
        <v>0.49951328076741403</v>
      </c>
      <c r="D29">
        <v>-0.318695637686572</v>
      </c>
      <c r="E29">
        <v>0.74995732292719797</v>
      </c>
      <c r="F29">
        <v>0.46028565982584102</v>
      </c>
      <c r="G29">
        <v>0.124090473451718</v>
      </c>
      <c r="J29" t="s">
        <v>360</v>
      </c>
      <c r="K29" t="s">
        <v>413</v>
      </c>
      <c r="L29">
        <v>9.3668491768143895E-6</v>
      </c>
      <c r="M29">
        <v>1.41421362131419</v>
      </c>
      <c r="N29">
        <v>6.6233622952309098E-6</v>
      </c>
      <c r="O29">
        <v>0.99999471532148398</v>
      </c>
      <c r="P29">
        <v>0.50000234171229396</v>
      </c>
      <c r="Q29">
        <v>0.35355340532079299</v>
      </c>
      <c r="R29" t="s">
        <v>424</v>
      </c>
    </row>
    <row r="30" spans="1:18" x14ac:dyDescent="0.3">
      <c r="A30" t="s">
        <v>421</v>
      </c>
      <c r="B30">
        <v>-3.7567590388688701</v>
      </c>
      <c r="C30">
        <v>3771.9295333775799</v>
      </c>
      <c r="D30">
        <v>-9.95978054633719E-4</v>
      </c>
      <c r="E30">
        <v>0.99920532461869205</v>
      </c>
      <c r="F30">
        <v>2.2826121705134299E-2</v>
      </c>
      <c r="G30">
        <v>84.133227236748297</v>
      </c>
      <c r="J30" t="s">
        <v>362</v>
      </c>
      <c r="K30" t="s">
        <v>413</v>
      </c>
      <c r="L30">
        <v>1.0115958071596001</v>
      </c>
      <c r="M30">
        <v>1.3055808835109901</v>
      </c>
      <c r="N30">
        <v>0.77482430995710705</v>
      </c>
      <c r="O30">
        <v>0.43844348238110697</v>
      </c>
      <c r="P30">
        <v>0.73333233511511797</v>
      </c>
      <c r="Q30">
        <v>0.25531420318189302</v>
      </c>
      <c r="R30" t="s">
        <v>424</v>
      </c>
    </row>
    <row r="31" spans="1:18" x14ac:dyDescent="0.3">
      <c r="A31" t="s">
        <v>422</v>
      </c>
      <c r="B31">
        <v>-0.96534063214842003</v>
      </c>
      <c r="C31">
        <v>0.57944447710220204</v>
      </c>
      <c r="D31">
        <v>-1.6659760689688199</v>
      </c>
      <c r="E31">
        <v>9.5718181003042302E-2</v>
      </c>
      <c r="F31">
        <v>0.27581018653366302</v>
      </c>
      <c r="G31">
        <v>0.11573761842417001</v>
      </c>
      <c r="J31" t="s">
        <v>364</v>
      </c>
      <c r="K31" t="s">
        <v>413</v>
      </c>
      <c r="L31">
        <v>1.87176535128896</v>
      </c>
      <c r="M31">
        <v>1.69839257486657</v>
      </c>
      <c r="N31">
        <v>1.10208050776247</v>
      </c>
      <c r="O31">
        <v>0.27042667273746201</v>
      </c>
      <c r="P31">
        <v>0.86666241120508003</v>
      </c>
      <c r="Q31">
        <v>0.19626399763524599</v>
      </c>
      <c r="R31" t="s">
        <v>424</v>
      </c>
    </row>
    <row r="32" spans="1:18" x14ac:dyDescent="0.3">
      <c r="A32" t="s">
        <v>423</v>
      </c>
      <c r="B32">
        <v>-0.24354040689535</v>
      </c>
      <c r="C32">
        <v>0.57189312842950502</v>
      </c>
      <c r="D32">
        <v>-0.42584950716953801</v>
      </c>
      <c r="E32">
        <v>0.670217509680337</v>
      </c>
      <c r="F32">
        <v>0.43941405843131798</v>
      </c>
      <c r="G32">
        <v>0.140874058983565</v>
      </c>
      <c r="J32" t="s">
        <v>366</v>
      </c>
      <c r="K32" t="s">
        <v>413</v>
      </c>
      <c r="L32">
        <v>-1.8718117022048699</v>
      </c>
      <c r="M32">
        <v>1.69842143973656</v>
      </c>
      <c r="N32">
        <v>-1.1020890683617399</v>
      </c>
      <c r="O32">
        <v>0.27042295139900502</v>
      </c>
      <c r="P32">
        <v>0.13333223263546501</v>
      </c>
      <c r="Q32">
        <v>0.19626066210500401</v>
      </c>
      <c r="R32" t="s">
        <v>424</v>
      </c>
    </row>
    <row r="33" spans="1:18" x14ac:dyDescent="0.3">
      <c r="J33" t="s">
        <v>368</v>
      </c>
      <c r="K33" t="s">
        <v>413</v>
      </c>
      <c r="L33">
        <v>-1.38629209778658</v>
      </c>
      <c r="M33">
        <v>1.4433746881117799</v>
      </c>
      <c r="N33">
        <v>-0.96045199434675599</v>
      </c>
      <c r="O33">
        <v>0.33682778064937502</v>
      </c>
      <c r="P33">
        <v>0.200000362133575</v>
      </c>
      <c r="Q33">
        <v>0.230940263714356</v>
      </c>
      <c r="R33" t="s">
        <v>424</v>
      </c>
    </row>
    <row r="34" spans="1:18" x14ac:dyDescent="0.3">
      <c r="J34" t="s">
        <v>370</v>
      </c>
      <c r="K34" t="s">
        <v>413</v>
      </c>
      <c r="L34">
        <v>0.61903805392124001</v>
      </c>
      <c r="M34">
        <v>1.48249842168677</v>
      </c>
      <c r="N34">
        <v>0.41756405596500101</v>
      </c>
      <c r="O34">
        <v>0.67626588141269794</v>
      </c>
      <c r="P34">
        <v>0.64999973735462102</v>
      </c>
      <c r="Q34">
        <v>0.33726850774504602</v>
      </c>
      <c r="R34" t="s">
        <v>424</v>
      </c>
    </row>
    <row r="35" spans="1:18" x14ac:dyDescent="0.3">
      <c r="J35" t="s">
        <v>358</v>
      </c>
      <c r="K35" t="s">
        <v>414</v>
      </c>
      <c r="L35">
        <v>0.40539984313487198</v>
      </c>
      <c r="M35">
        <v>1.44336630648086</v>
      </c>
      <c r="N35">
        <v>0.28087107293178798</v>
      </c>
      <c r="O35">
        <v>0.77880928835025798</v>
      </c>
      <c r="P35">
        <v>0.59998433630418602</v>
      </c>
      <c r="Q35">
        <v>0.34641243489142998</v>
      </c>
      <c r="R35" t="s">
        <v>424</v>
      </c>
    </row>
    <row r="36" spans="1:18" x14ac:dyDescent="0.3">
      <c r="J36" t="s">
        <v>360</v>
      </c>
      <c r="K36" t="s">
        <v>414</v>
      </c>
      <c r="L36">
        <v>1.3863367889875799</v>
      </c>
      <c r="M36">
        <v>1.7677894482427201</v>
      </c>
      <c r="N36">
        <v>0.78422053619885101</v>
      </c>
      <c r="O36">
        <v>0.43291071707992002</v>
      </c>
      <c r="P36">
        <v>0.800006788372425</v>
      </c>
      <c r="Q36">
        <v>0.28283911138948697</v>
      </c>
      <c r="R36" t="s">
        <v>424</v>
      </c>
    </row>
    <row r="37" spans="1:18" x14ac:dyDescent="0.3">
      <c r="A37" s="2" t="s">
        <v>339</v>
      </c>
      <c r="B37" s="2" t="s">
        <v>352</v>
      </c>
      <c r="C37" s="2" t="s">
        <v>357</v>
      </c>
      <c r="J37" t="s">
        <v>362</v>
      </c>
      <c r="K37" t="s">
        <v>414</v>
      </c>
      <c r="L37">
        <v>-0.40545728008903498</v>
      </c>
      <c r="M37">
        <v>1.1785104226579499</v>
      </c>
      <c r="N37">
        <v>-0.34404216737819598</v>
      </c>
      <c r="O37">
        <v>0.730814574563311</v>
      </c>
      <c r="P37">
        <v>0.40000187872606202</v>
      </c>
      <c r="Q37">
        <v>0.28284294425339701</v>
      </c>
      <c r="R37" t="s">
        <v>424</v>
      </c>
    </row>
    <row r="38" spans="1:18" x14ac:dyDescent="0.3">
      <c r="A38" t="s">
        <v>364</v>
      </c>
      <c r="B38">
        <v>0.56544645648672398</v>
      </c>
      <c r="C38" t="s">
        <v>424</v>
      </c>
      <c r="J38" t="s">
        <v>364</v>
      </c>
      <c r="K38" t="s">
        <v>414</v>
      </c>
      <c r="L38">
        <v>0.40546986112334699</v>
      </c>
      <c r="M38">
        <v>1.17851190534108</v>
      </c>
      <c r="N38">
        <v>0.34405240989567998</v>
      </c>
      <c r="O38">
        <v>0.73080687185638105</v>
      </c>
      <c r="P38">
        <v>0.60000114072310196</v>
      </c>
      <c r="Q38">
        <v>0.28284258840917398</v>
      </c>
      <c r="R38" t="s">
        <v>424</v>
      </c>
    </row>
    <row r="39" spans="1:18" x14ac:dyDescent="0.3">
      <c r="A39" t="s">
        <v>358</v>
      </c>
      <c r="B39">
        <v>-7.5062316206575899E-2</v>
      </c>
      <c r="C39" t="s">
        <v>424</v>
      </c>
      <c r="J39" t="s">
        <v>366</v>
      </c>
      <c r="K39" t="s">
        <v>414</v>
      </c>
      <c r="L39">
        <v>-0.13352070911509201</v>
      </c>
      <c r="M39">
        <v>1.15727476018382</v>
      </c>
      <c r="N39">
        <v>-0.115375115494512</v>
      </c>
      <c r="O39">
        <v>0.90814780218741997</v>
      </c>
      <c r="P39">
        <v>0.466669325674405</v>
      </c>
      <c r="Q39">
        <v>0.28803303433996003</v>
      </c>
      <c r="R39" t="s">
        <v>424</v>
      </c>
    </row>
    <row r="40" spans="1:18" x14ac:dyDescent="0.3">
      <c r="A40" t="s">
        <v>360</v>
      </c>
      <c r="B40">
        <v>-0.104397159948348</v>
      </c>
      <c r="C40" t="s">
        <v>424</v>
      </c>
      <c r="J40" t="s">
        <v>368</v>
      </c>
      <c r="K40" t="s">
        <v>414</v>
      </c>
      <c r="L40">
        <v>-2.6391236495450801</v>
      </c>
      <c r="M40">
        <v>2.31461664684308</v>
      </c>
      <c r="N40">
        <v>-1.1401990274046501</v>
      </c>
      <c r="O40">
        <v>0.25420339261446601</v>
      </c>
      <c r="P40">
        <v>6.6662540211845603E-2</v>
      </c>
      <c r="Q40">
        <v>0.14401231364682701</v>
      </c>
      <c r="R40" t="s">
        <v>424</v>
      </c>
    </row>
    <row r="41" spans="1:18" x14ac:dyDescent="0.3">
      <c r="A41" t="s">
        <v>362</v>
      </c>
      <c r="B41">
        <v>-0.45204687096896601</v>
      </c>
      <c r="C41" t="s">
        <v>424</v>
      </c>
      <c r="J41" t="s">
        <v>370</v>
      </c>
      <c r="K41" t="s">
        <v>414</v>
      </c>
      <c r="L41">
        <v>-1.0985929250275801</v>
      </c>
      <c r="M41">
        <v>1.6329852737705299</v>
      </c>
      <c r="N41">
        <v>-0.67275127502586196</v>
      </c>
      <c r="O41">
        <v>0.50110554084877101</v>
      </c>
      <c r="P41">
        <v>0.25000363070017501</v>
      </c>
      <c r="Q41">
        <v>0.30618770325040801</v>
      </c>
      <c r="R41" t="s">
        <v>424</v>
      </c>
    </row>
    <row r="42" spans="1:18" x14ac:dyDescent="0.3">
      <c r="A42" t="s">
        <v>366</v>
      </c>
      <c r="B42">
        <v>-0.60502197564926197</v>
      </c>
      <c r="C42" t="s">
        <v>424</v>
      </c>
      <c r="J42" t="s">
        <v>358</v>
      </c>
      <c r="K42" t="s">
        <v>415</v>
      </c>
      <c r="L42">
        <v>2.19725628579131</v>
      </c>
      <c r="M42">
        <v>2.3570524089133902</v>
      </c>
      <c r="N42">
        <v>0.93220510391801403</v>
      </c>
      <c r="O42">
        <v>0.35123053828488598</v>
      </c>
      <c r="P42">
        <v>0.90000285372476296</v>
      </c>
      <c r="Q42">
        <v>0.21212933567994799</v>
      </c>
      <c r="R42" t="s">
        <v>424</v>
      </c>
    </row>
    <row r="43" spans="1:18" x14ac:dyDescent="0.3">
      <c r="A43" t="s">
        <v>368</v>
      </c>
      <c r="B43">
        <v>-4.7670312093167704</v>
      </c>
      <c r="C43" t="s">
        <v>424</v>
      </c>
      <c r="J43" t="s">
        <v>360</v>
      </c>
      <c r="K43" t="s">
        <v>415</v>
      </c>
      <c r="L43">
        <v>6.6965498257325098E-6</v>
      </c>
      <c r="M43">
        <v>1.41421362130675</v>
      </c>
      <c r="N43">
        <v>4.7351755950029702E-6</v>
      </c>
      <c r="O43">
        <v>0.99999622187649995</v>
      </c>
      <c r="P43">
        <v>0.500001674137456</v>
      </c>
      <c r="Q43">
        <v>0.353553405322725</v>
      </c>
      <c r="R43" t="s">
        <v>424</v>
      </c>
    </row>
    <row r="44" spans="1:18" x14ac:dyDescent="0.3">
      <c r="A44" t="s">
        <v>370</v>
      </c>
      <c r="B44">
        <v>-6.0999820391219002</v>
      </c>
      <c r="C44" t="s">
        <v>424</v>
      </c>
      <c r="J44" t="s">
        <v>362</v>
      </c>
      <c r="K44" t="s">
        <v>415</v>
      </c>
      <c r="L44">
        <v>-1.0116138993159201</v>
      </c>
      <c r="M44">
        <v>1.30558639505355</v>
      </c>
      <c r="N44">
        <v>-0.77483489652511806</v>
      </c>
      <c r="O44">
        <v>0.43843722592305201</v>
      </c>
      <c r="P44">
        <v>0.26666412686970897</v>
      </c>
      <c r="Q44">
        <v>0.25531312537068501</v>
      </c>
      <c r="R44" t="s">
        <v>424</v>
      </c>
    </row>
    <row r="45" spans="1:18" x14ac:dyDescent="0.3">
      <c r="J45" t="s">
        <v>364</v>
      </c>
      <c r="K45" t="s">
        <v>415</v>
      </c>
      <c r="L45">
        <v>0.40545382017682902</v>
      </c>
      <c r="M45">
        <v>1.1785100149132599</v>
      </c>
      <c r="N45">
        <v>0.344039350574947</v>
      </c>
      <c r="O45">
        <v>0.73081669289590701</v>
      </c>
      <c r="P45">
        <v>0.59999729089342202</v>
      </c>
      <c r="Q45">
        <v>0.28284304211237998</v>
      </c>
      <c r="R45" t="s">
        <v>424</v>
      </c>
    </row>
    <row r="46" spans="1:18" x14ac:dyDescent="0.3">
      <c r="J46" t="s">
        <v>366</v>
      </c>
      <c r="K46" t="s">
        <v>415</v>
      </c>
      <c r="L46">
        <v>-0.133535704263085</v>
      </c>
      <c r="M46">
        <v>1.15727533862037</v>
      </c>
      <c r="N46">
        <v>-0.115388015113394</v>
      </c>
      <c r="O46">
        <v>0.90813757806407902</v>
      </c>
      <c r="P46">
        <v>0.46666559354789</v>
      </c>
      <c r="Q46">
        <v>0.28803289037347601</v>
      </c>
      <c r="R46" t="s">
        <v>424</v>
      </c>
    </row>
    <row r="47" spans="1:18" x14ac:dyDescent="0.3">
      <c r="A47" s="2" t="s">
        <v>339</v>
      </c>
      <c r="B47" s="2" t="s">
        <v>169</v>
      </c>
      <c r="C47" s="2" t="s">
        <v>352</v>
      </c>
      <c r="D47" s="2" t="s">
        <v>357</v>
      </c>
      <c r="J47" t="s">
        <v>368</v>
      </c>
      <c r="K47" t="s">
        <v>415</v>
      </c>
      <c r="L47">
        <v>-1.3862967503297201</v>
      </c>
      <c r="M47">
        <v>1.4433767027219</v>
      </c>
      <c r="N47">
        <v>-0.96045387715865005</v>
      </c>
      <c r="O47">
        <v>0.33682683346349901</v>
      </c>
      <c r="P47">
        <v>0.19999961772670199</v>
      </c>
      <c r="Q47">
        <v>0.23093994137667001</v>
      </c>
      <c r="R47" t="s">
        <v>424</v>
      </c>
    </row>
    <row r="48" spans="1:18" x14ac:dyDescent="0.3">
      <c r="A48" t="s">
        <v>358</v>
      </c>
      <c r="B48" t="s">
        <v>415</v>
      </c>
      <c r="C48">
        <v>2.19725628579131</v>
      </c>
      <c r="D48" t="s">
        <v>424</v>
      </c>
      <c r="J48" t="s">
        <v>370</v>
      </c>
      <c r="K48" t="s">
        <v>415</v>
      </c>
      <c r="L48">
        <v>-1.38625890528431</v>
      </c>
      <c r="M48">
        <v>1.7677481440584899</v>
      </c>
      <c r="N48">
        <v>-0.78419480169932998</v>
      </c>
      <c r="O48">
        <v>0.43292581489895798</v>
      </c>
      <c r="P48">
        <v>0.20000567299403499</v>
      </c>
      <c r="Q48">
        <v>0.28284572004727299</v>
      </c>
      <c r="R48" t="s">
        <v>424</v>
      </c>
    </row>
    <row r="49" spans="1:18" x14ac:dyDescent="0.3">
      <c r="A49" t="s">
        <v>364</v>
      </c>
      <c r="B49" t="s">
        <v>413</v>
      </c>
      <c r="C49">
        <v>1.87176535128896</v>
      </c>
      <c r="D49" t="s">
        <v>424</v>
      </c>
      <c r="J49" t="s">
        <v>358</v>
      </c>
      <c r="K49" t="s">
        <v>416</v>
      </c>
      <c r="L49">
        <v>-1.38616804193049</v>
      </c>
      <c r="M49">
        <v>1.7676999597440799</v>
      </c>
      <c r="N49">
        <v>-0.78416477541311802</v>
      </c>
      <c r="O49">
        <v>0.43294343099235999</v>
      </c>
      <c r="P49">
        <v>0.20002021183622001</v>
      </c>
      <c r="Q49">
        <v>0.28285342991415802</v>
      </c>
      <c r="R49" t="s">
        <v>424</v>
      </c>
    </row>
    <row r="50" spans="1:18" x14ac:dyDescent="0.3">
      <c r="A50" t="s">
        <v>360</v>
      </c>
      <c r="B50" t="s">
        <v>414</v>
      </c>
      <c r="C50">
        <v>1.3863367889875799</v>
      </c>
      <c r="D50" t="s">
        <v>424</v>
      </c>
      <c r="J50" t="s">
        <v>360</v>
      </c>
      <c r="K50" t="s">
        <v>416</v>
      </c>
      <c r="L50">
        <v>-0.84732821273936298</v>
      </c>
      <c r="M50">
        <v>1.5430429001683501</v>
      </c>
      <c r="N50">
        <v>-0.54912809789469597</v>
      </c>
      <c r="O50">
        <v>0.58291754385296302</v>
      </c>
      <c r="P50">
        <v>0.29999362604474</v>
      </c>
      <c r="Q50">
        <v>0.32403507485810101</v>
      </c>
      <c r="R50" t="s">
        <v>424</v>
      </c>
    </row>
    <row r="51" spans="1:18" x14ac:dyDescent="0.3">
      <c r="A51" t="s">
        <v>366</v>
      </c>
      <c r="B51" t="s">
        <v>412</v>
      </c>
      <c r="C51">
        <v>1.3862683573699901</v>
      </c>
      <c r="D51" t="s">
        <v>424</v>
      </c>
      <c r="J51" t="s">
        <v>362</v>
      </c>
      <c r="K51" t="s">
        <v>416</v>
      </c>
      <c r="L51">
        <v>-0.69315613427738998</v>
      </c>
      <c r="M51">
        <v>1.2247467330941899</v>
      </c>
      <c r="N51">
        <v>-0.56595875338749102</v>
      </c>
      <c r="O51">
        <v>0.57142181993494701</v>
      </c>
      <c r="P51">
        <v>0.333331343621315</v>
      </c>
      <c r="Q51">
        <v>0.27216512838498402</v>
      </c>
      <c r="R51" t="s">
        <v>424</v>
      </c>
    </row>
    <row r="52" spans="1:18" x14ac:dyDescent="0.3">
      <c r="A52" t="s">
        <v>360</v>
      </c>
      <c r="B52" t="s">
        <v>412</v>
      </c>
      <c r="C52">
        <v>1.38625608201835</v>
      </c>
      <c r="D52" t="s">
        <v>424</v>
      </c>
      <c r="J52" t="s">
        <v>364</v>
      </c>
      <c r="K52" t="s">
        <v>416</v>
      </c>
      <c r="L52">
        <v>1.0115844413486701</v>
      </c>
      <c r="M52">
        <v>1.3055774211176501</v>
      </c>
      <c r="N52">
        <v>0.77481765921065904</v>
      </c>
      <c r="O52">
        <v>0.43844741287057398</v>
      </c>
      <c r="P52">
        <v>0.73333011245645896</v>
      </c>
      <c r="Q52">
        <v>0.25531488027583199</v>
      </c>
      <c r="R52" t="s">
        <v>424</v>
      </c>
    </row>
    <row r="53" spans="1:18" x14ac:dyDescent="0.3">
      <c r="A53" t="s">
        <v>362</v>
      </c>
      <c r="B53" t="s">
        <v>422</v>
      </c>
      <c r="C53">
        <v>1.01160651039565</v>
      </c>
      <c r="D53" t="s">
        <v>424</v>
      </c>
      <c r="J53" t="s">
        <v>366</v>
      </c>
      <c r="K53" t="s">
        <v>416</v>
      </c>
      <c r="L53">
        <v>-1.7346189123250899</v>
      </c>
      <c r="M53">
        <v>1.6169142408420101</v>
      </c>
      <c r="N53">
        <v>-1.0727958654268399</v>
      </c>
      <c r="O53">
        <v>0.28336271629915599</v>
      </c>
      <c r="P53">
        <v>0.14999772325476399</v>
      </c>
      <c r="Q53">
        <v>0.20615398878771801</v>
      </c>
      <c r="R53" t="s">
        <v>424</v>
      </c>
    </row>
    <row r="54" spans="1:18" x14ac:dyDescent="0.3">
      <c r="A54" t="s">
        <v>362</v>
      </c>
      <c r="B54" t="s">
        <v>413</v>
      </c>
      <c r="C54">
        <v>1.0115958071596001</v>
      </c>
      <c r="D54" t="s">
        <v>424</v>
      </c>
      <c r="J54" t="s">
        <v>368</v>
      </c>
      <c r="K54" t="s">
        <v>416</v>
      </c>
      <c r="L54">
        <v>-20.147639128718598</v>
      </c>
      <c r="M54">
        <v>13691.2652908407</v>
      </c>
      <c r="N54">
        <v>-1.4715688214877499E-3</v>
      </c>
      <c r="O54">
        <v>0.99882585838094595</v>
      </c>
      <c r="P54">
        <v>1.7782446151436999E-9</v>
      </c>
      <c r="Q54">
        <v>2.43464187346474E-5</v>
      </c>
      <c r="R54" t="s">
        <v>424</v>
      </c>
    </row>
    <row r="55" spans="1:18" x14ac:dyDescent="0.3">
      <c r="A55" t="s">
        <v>364</v>
      </c>
      <c r="B55" t="s">
        <v>421</v>
      </c>
      <c r="C55">
        <v>1.01158861546696</v>
      </c>
      <c r="D55" t="s">
        <v>424</v>
      </c>
      <c r="J55" t="s">
        <v>370</v>
      </c>
      <c r="K55" t="s">
        <v>416</v>
      </c>
      <c r="L55">
        <v>-22.369395015505301</v>
      </c>
      <c r="M55">
        <v>50925.743166038599</v>
      </c>
      <c r="N55">
        <v>-4.39255151222281E-4</v>
      </c>
      <c r="O55">
        <v>0.99964952510785698</v>
      </c>
      <c r="P55">
        <v>1.9279474011255799E-10</v>
      </c>
      <c r="Q55">
        <v>9.8182154168423907E-6</v>
      </c>
      <c r="R55" t="s">
        <v>424</v>
      </c>
    </row>
    <row r="56" spans="1:18" x14ac:dyDescent="0.3">
      <c r="A56" t="s">
        <v>364</v>
      </c>
      <c r="B56" t="s">
        <v>416</v>
      </c>
      <c r="C56">
        <v>1.0115844413486701</v>
      </c>
      <c r="D56" t="s">
        <v>424</v>
      </c>
      <c r="J56" t="s">
        <v>358</v>
      </c>
      <c r="K56" t="s">
        <v>417</v>
      </c>
      <c r="L56">
        <v>1.2152000167823E-5</v>
      </c>
      <c r="M56">
        <v>1.41421362132485</v>
      </c>
      <c r="N56">
        <v>8.5927613654568392E-6</v>
      </c>
      <c r="O56">
        <v>0.99999314396837202</v>
      </c>
      <c r="P56">
        <v>0.50000303800004198</v>
      </c>
      <c r="Q56">
        <v>0.35355340531815999</v>
      </c>
      <c r="R56" t="s">
        <v>424</v>
      </c>
    </row>
    <row r="57" spans="1:18" x14ac:dyDescent="0.3">
      <c r="A57" t="s">
        <v>360</v>
      </c>
      <c r="B57" t="s">
        <v>423</v>
      </c>
      <c r="C57">
        <v>0.847291475195739</v>
      </c>
      <c r="D57" t="s">
        <v>424</v>
      </c>
      <c r="J57" t="s">
        <v>360</v>
      </c>
      <c r="K57" t="s">
        <v>417</v>
      </c>
      <c r="L57">
        <v>-2.19720738665296</v>
      </c>
      <c r="M57">
        <v>2.3570063061601898</v>
      </c>
      <c r="N57">
        <v>-0.932202591444244</v>
      </c>
      <c r="O57">
        <v>0.35123183647941397</v>
      </c>
      <c r="P57">
        <v>0.100001547172132</v>
      </c>
      <c r="Q57">
        <v>0.21213348490435299</v>
      </c>
      <c r="R57" t="s">
        <v>424</v>
      </c>
    </row>
    <row r="58" spans="1:18" x14ac:dyDescent="0.3">
      <c r="A58" t="s">
        <v>364</v>
      </c>
      <c r="B58" t="s">
        <v>412</v>
      </c>
      <c r="C58">
        <v>0.69322144504716599</v>
      </c>
      <c r="D58" t="s">
        <v>424</v>
      </c>
      <c r="J58" t="s">
        <v>362</v>
      </c>
      <c r="K58" t="s">
        <v>417</v>
      </c>
      <c r="L58">
        <v>-0.40546848703509403</v>
      </c>
      <c r="M58">
        <v>1.17851174340155</v>
      </c>
      <c r="N58">
        <v>-0.34405129121987799</v>
      </c>
      <c r="O58">
        <v>0.73080771313571902</v>
      </c>
      <c r="P58">
        <v>0.39999918905781101</v>
      </c>
      <c r="Q58">
        <v>0.28284262727461901</v>
      </c>
      <c r="R58" t="s">
        <v>424</v>
      </c>
    </row>
    <row r="59" spans="1:18" x14ac:dyDescent="0.3">
      <c r="A59" t="s">
        <v>362</v>
      </c>
      <c r="B59" t="s">
        <v>423</v>
      </c>
      <c r="C59">
        <v>0.69315369221414502</v>
      </c>
      <c r="D59" t="s">
        <v>424</v>
      </c>
      <c r="J59" t="s">
        <v>364</v>
      </c>
      <c r="K59" t="s">
        <v>417</v>
      </c>
      <c r="L59">
        <v>0.69313933801209704</v>
      </c>
      <c r="M59">
        <v>1.2247433045685301</v>
      </c>
      <c r="N59">
        <v>0.56594662361210901</v>
      </c>
      <c r="O59">
        <v>0.57143006587224099</v>
      </c>
      <c r="P59">
        <v>0.66666492387597798</v>
      </c>
      <c r="Q59">
        <v>0.27216589027969601</v>
      </c>
      <c r="R59" t="s">
        <v>424</v>
      </c>
    </row>
    <row r="60" spans="1:18" x14ac:dyDescent="0.3">
      <c r="A60" t="s">
        <v>364</v>
      </c>
      <c r="B60" t="s">
        <v>423</v>
      </c>
      <c r="C60">
        <v>0.69315149990119196</v>
      </c>
      <c r="D60" t="s">
        <v>424</v>
      </c>
      <c r="J60" t="s">
        <v>366</v>
      </c>
      <c r="K60" t="s">
        <v>417</v>
      </c>
      <c r="L60">
        <v>0.13353129403019601</v>
      </c>
      <c r="M60">
        <v>1.1572751684892799</v>
      </c>
      <c r="N60">
        <v>0.115384221199966</v>
      </c>
      <c r="O60">
        <v>0.90814058508458095</v>
      </c>
      <c r="P60">
        <v>0.53333330879430096</v>
      </c>
      <c r="Q60">
        <v>0.28803293271722602</v>
      </c>
      <c r="R60" t="s">
        <v>424</v>
      </c>
    </row>
    <row r="61" spans="1:18" x14ac:dyDescent="0.3">
      <c r="A61" t="s">
        <v>366</v>
      </c>
      <c r="B61" t="s">
        <v>420</v>
      </c>
      <c r="C61">
        <v>0.69314396952622803</v>
      </c>
      <c r="D61" t="s">
        <v>424</v>
      </c>
      <c r="J61" t="s">
        <v>368</v>
      </c>
      <c r="K61" t="s">
        <v>417</v>
      </c>
      <c r="L61">
        <v>-1.8718085721678701</v>
      </c>
      <c r="M61">
        <v>1.6984194904882499</v>
      </c>
      <c r="N61">
        <v>-1.1020884902997501</v>
      </c>
      <c r="O61">
        <v>0.270423202684552</v>
      </c>
      <c r="P61">
        <v>0.13333259432651901</v>
      </c>
      <c r="Q61">
        <v>0.196260887350203</v>
      </c>
      <c r="R61" t="s">
        <v>424</v>
      </c>
    </row>
    <row r="62" spans="1:18" x14ac:dyDescent="0.3">
      <c r="A62" t="s">
        <v>364</v>
      </c>
      <c r="B62" t="s">
        <v>417</v>
      </c>
      <c r="C62">
        <v>0.69313933801209704</v>
      </c>
      <c r="D62" t="s">
        <v>424</v>
      </c>
      <c r="J62" t="s">
        <v>370</v>
      </c>
      <c r="K62" t="s">
        <v>417</v>
      </c>
      <c r="L62">
        <v>-1.09859502719892</v>
      </c>
      <c r="M62">
        <v>1.63298613196266</v>
      </c>
      <c r="N62">
        <v>-0.67275220878852804</v>
      </c>
      <c r="O62">
        <v>0.50110494669777095</v>
      </c>
      <c r="P62">
        <v>0.25000323653944101</v>
      </c>
      <c r="Q62">
        <v>0.30618754233790502</v>
      </c>
      <c r="R62" t="s">
        <v>424</v>
      </c>
    </row>
    <row r="63" spans="1:18" x14ac:dyDescent="0.3">
      <c r="A63" t="s">
        <v>370</v>
      </c>
      <c r="B63" t="s">
        <v>413</v>
      </c>
      <c r="C63">
        <v>0.61903805392124001</v>
      </c>
      <c r="D63" t="s">
        <v>424</v>
      </c>
      <c r="J63" t="s">
        <v>358</v>
      </c>
      <c r="K63" t="s">
        <v>418</v>
      </c>
      <c r="L63">
        <v>-0.40546357678753803</v>
      </c>
      <c r="M63">
        <v>1.44337550487125</v>
      </c>
      <c r="N63">
        <v>-0.28091343896244397</v>
      </c>
      <c r="O63">
        <v>0.77877679273078104</v>
      </c>
      <c r="P63">
        <v>0.40000036751700702</v>
      </c>
      <c r="Q63">
        <v>0.346410227261915</v>
      </c>
      <c r="R63" t="s">
        <v>424</v>
      </c>
    </row>
    <row r="64" spans="1:18" x14ac:dyDescent="0.3">
      <c r="A64" t="s">
        <v>358</v>
      </c>
      <c r="B64" t="s">
        <v>413</v>
      </c>
      <c r="C64">
        <v>0.48553465617557801</v>
      </c>
      <c r="D64" t="s">
        <v>424</v>
      </c>
      <c r="J64" t="s">
        <v>360</v>
      </c>
      <c r="K64" t="s">
        <v>418</v>
      </c>
      <c r="L64">
        <v>-1.3863204149284101</v>
      </c>
      <c r="M64">
        <v>1.7677807643402399</v>
      </c>
      <c r="N64">
        <v>-0.78421512604579102</v>
      </c>
      <c r="O64">
        <v>0.43291389106280098</v>
      </c>
      <c r="P64">
        <v>0.19999583142322</v>
      </c>
      <c r="Q64">
        <v>0.28284050078581202</v>
      </c>
      <c r="R64" t="s">
        <v>424</v>
      </c>
    </row>
    <row r="65" spans="1:18" x14ac:dyDescent="0.3">
      <c r="A65" t="s">
        <v>362</v>
      </c>
      <c r="B65" t="s">
        <v>412</v>
      </c>
      <c r="C65">
        <v>0.40550667696800702</v>
      </c>
      <c r="D65" t="s">
        <v>424</v>
      </c>
      <c r="J65" t="s">
        <v>362</v>
      </c>
      <c r="K65" t="s">
        <v>418</v>
      </c>
      <c r="L65">
        <v>-2.6390302586451999</v>
      </c>
      <c r="M65">
        <v>2.3145229773567899</v>
      </c>
      <c r="N65">
        <v>-1.1402048216687</v>
      </c>
      <c r="O65">
        <v>0.254200979189455</v>
      </c>
      <c r="P65">
        <v>6.66683511023409E-2</v>
      </c>
      <c r="Q65">
        <v>0.14401814187202899</v>
      </c>
      <c r="R65" t="s">
        <v>424</v>
      </c>
    </row>
    <row r="66" spans="1:18" x14ac:dyDescent="0.3">
      <c r="A66" t="s">
        <v>360</v>
      </c>
      <c r="B66" t="s">
        <v>419</v>
      </c>
      <c r="C66">
        <v>0.40548078268780802</v>
      </c>
      <c r="D66" t="s">
        <v>424</v>
      </c>
      <c r="J66" t="s">
        <v>364</v>
      </c>
      <c r="K66" t="s">
        <v>418</v>
      </c>
      <c r="L66">
        <v>0.133527144327382</v>
      </c>
      <c r="M66">
        <v>1.1572750084135499</v>
      </c>
      <c r="N66">
        <v>0.115380651406641</v>
      </c>
      <c r="O66">
        <v>0.90814341447077696</v>
      </c>
      <c r="P66">
        <v>0.53333227597922905</v>
      </c>
      <c r="Q66">
        <v>0.28803297255826599</v>
      </c>
      <c r="R66" t="s">
        <v>424</v>
      </c>
    </row>
    <row r="67" spans="1:18" x14ac:dyDescent="0.3">
      <c r="A67" t="s">
        <v>364</v>
      </c>
      <c r="B67" t="s">
        <v>414</v>
      </c>
      <c r="C67">
        <v>0.40546986112334699</v>
      </c>
      <c r="D67" t="s">
        <v>424</v>
      </c>
      <c r="J67" t="s">
        <v>366</v>
      </c>
      <c r="K67" t="s">
        <v>418</v>
      </c>
      <c r="L67">
        <v>-0.69314475025149003</v>
      </c>
      <c r="M67">
        <v>1.22474440932859</v>
      </c>
      <c r="N67">
        <v>-0.56595053218612101</v>
      </c>
      <c r="O67">
        <v>0.57142740878007103</v>
      </c>
      <c r="P67">
        <v>0.33333387340209802</v>
      </c>
      <c r="Q67">
        <v>0.27216564477695099</v>
      </c>
      <c r="R67" t="s">
        <v>424</v>
      </c>
    </row>
    <row r="68" spans="1:18" x14ac:dyDescent="0.3">
      <c r="A68" t="s">
        <v>360</v>
      </c>
      <c r="B68" t="s">
        <v>420</v>
      </c>
      <c r="C68">
        <v>0.40546085454004699</v>
      </c>
      <c r="D68" t="s">
        <v>424</v>
      </c>
      <c r="J68" t="s">
        <v>368</v>
      </c>
      <c r="K68" t="s">
        <v>418</v>
      </c>
      <c r="L68">
        <v>-1.8717864841919201</v>
      </c>
      <c r="M68">
        <v>1.6984057351945601</v>
      </c>
      <c r="N68">
        <v>-1.1020844109299299</v>
      </c>
      <c r="O68">
        <v>0.27042497600526</v>
      </c>
      <c r="P68">
        <v>0.13333514672355201</v>
      </c>
      <c r="Q68">
        <v>0.19626247685661999</v>
      </c>
      <c r="R68" t="s">
        <v>424</v>
      </c>
    </row>
    <row r="69" spans="1:18" x14ac:dyDescent="0.3">
      <c r="A69" t="s">
        <v>364</v>
      </c>
      <c r="B69" t="s">
        <v>419</v>
      </c>
      <c r="C69">
        <v>0.40545754393426497</v>
      </c>
      <c r="D69" t="s">
        <v>424</v>
      </c>
      <c r="J69" t="s">
        <v>370</v>
      </c>
      <c r="K69" t="s">
        <v>418</v>
      </c>
      <c r="L69">
        <v>-20.5076416962299</v>
      </c>
      <c r="M69">
        <v>20075.333989100702</v>
      </c>
      <c r="N69">
        <v>-1.0215342722250101E-3</v>
      </c>
      <c r="O69">
        <v>0.99918493371761896</v>
      </c>
      <c r="P69">
        <v>1.2406359852649399E-9</v>
      </c>
      <c r="Q69">
        <v>2.4906181732191099E-5</v>
      </c>
      <c r="R69" t="s">
        <v>424</v>
      </c>
    </row>
    <row r="70" spans="1:18" x14ac:dyDescent="0.3">
      <c r="A70" t="s">
        <v>364</v>
      </c>
      <c r="B70" t="s">
        <v>415</v>
      </c>
      <c r="C70">
        <v>0.40545382017682902</v>
      </c>
      <c r="D70" t="s">
        <v>424</v>
      </c>
      <c r="J70" t="s">
        <v>358</v>
      </c>
      <c r="K70" t="s">
        <v>419</v>
      </c>
      <c r="L70">
        <v>-0.40543863659616303</v>
      </c>
      <c r="M70">
        <v>1.44337190519143</v>
      </c>
      <c r="N70">
        <v>-0.28089686042655199</v>
      </c>
      <c r="O70">
        <v>0.77878950876375097</v>
      </c>
      <c r="P70">
        <v>0.40000635317969802</v>
      </c>
      <c r="Q70">
        <v>0.34641109118790098</v>
      </c>
      <c r="R70" t="s">
        <v>424</v>
      </c>
    </row>
    <row r="71" spans="1:18" x14ac:dyDescent="0.3">
      <c r="A71" t="s">
        <v>358</v>
      </c>
      <c r="B71" t="s">
        <v>423</v>
      </c>
      <c r="C71">
        <v>0.40540833948927701</v>
      </c>
      <c r="D71" t="s">
        <v>424</v>
      </c>
      <c r="J71" t="s">
        <v>360</v>
      </c>
      <c r="K71" t="s">
        <v>419</v>
      </c>
      <c r="L71">
        <v>0.40548078268780802</v>
      </c>
      <c r="M71">
        <v>1.44337798837246</v>
      </c>
      <c r="N71">
        <v>0.28092487619616802</v>
      </c>
      <c r="O71">
        <v>0.77876802020286895</v>
      </c>
      <c r="P71">
        <v>0.60000376189321802</v>
      </c>
      <c r="Q71">
        <v>0.34640963122219198</v>
      </c>
      <c r="R71" t="s">
        <v>424</v>
      </c>
    </row>
    <row r="72" spans="1:18" x14ac:dyDescent="0.3">
      <c r="A72" t="s">
        <v>358</v>
      </c>
      <c r="B72" t="s">
        <v>414</v>
      </c>
      <c r="C72">
        <v>0.40539984313487198</v>
      </c>
      <c r="D72" t="s">
        <v>424</v>
      </c>
      <c r="J72" t="s">
        <v>362</v>
      </c>
      <c r="K72" t="s">
        <v>419</v>
      </c>
      <c r="L72">
        <v>-1.87183941748963</v>
      </c>
      <c r="M72">
        <v>1.6984386997685099</v>
      </c>
      <c r="N72">
        <v>-1.1020941867049701</v>
      </c>
      <c r="O72">
        <v>0.27042072644449999</v>
      </c>
      <c r="P72">
        <v>0.13332903003525501</v>
      </c>
      <c r="Q72">
        <v>0.19625866764615801</v>
      </c>
      <c r="R72" t="s">
        <v>424</v>
      </c>
    </row>
    <row r="73" spans="1:18" x14ac:dyDescent="0.3">
      <c r="A73" t="s">
        <v>366</v>
      </c>
      <c r="B73" t="s">
        <v>417</v>
      </c>
      <c r="C73">
        <v>0.13353129403019601</v>
      </c>
      <c r="D73" t="s">
        <v>424</v>
      </c>
      <c r="J73" t="s">
        <v>364</v>
      </c>
      <c r="K73" t="s">
        <v>419</v>
      </c>
      <c r="L73">
        <v>0.40545754393426497</v>
      </c>
      <c r="M73">
        <v>1.1785104537518101</v>
      </c>
      <c r="N73">
        <v>0.344042382181238</v>
      </c>
      <c r="O73">
        <v>0.73081441302414496</v>
      </c>
      <c r="P73">
        <v>0.59999818459689103</v>
      </c>
      <c r="Q73">
        <v>0.28284293679085898</v>
      </c>
      <c r="R73" t="s">
        <v>424</v>
      </c>
    </row>
    <row r="74" spans="1:18" x14ac:dyDescent="0.3">
      <c r="A74" t="s">
        <v>364</v>
      </c>
      <c r="B74" t="s">
        <v>418</v>
      </c>
      <c r="C74">
        <v>0.133527144327382</v>
      </c>
      <c r="D74" t="s">
        <v>424</v>
      </c>
      <c r="J74" t="s">
        <v>366</v>
      </c>
      <c r="K74" t="s">
        <v>419</v>
      </c>
      <c r="L74">
        <v>-1.01160070913241</v>
      </c>
      <c r="M74">
        <v>1.3055823768233801</v>
      </c>
      <c r="N74">
        <v>-0.77482717834606596</v>
      </c>
      <c r="O74">
        <v>0.43844178721333898</v>
      </c>
      <c r="P74">
        <v>0.26666670627567801</v>
      </c>
      <c r="Q74">
        <v>0.25531391115588897</v>
      </c>
      <c r="R74" t="s">
        <v>424</v>
      </c>
    </row>
    <row r="75" spans="1:18" x14ac:dyDescent="0.3">
      <c r="A75" t="s">
        <v>358</v>
      </c>
      <c r="B75" t="s">
        <v>417</v>
      </c>
      <c r="C75">
        <v>1.2152000167823E-5</v>
      </c>
      <c r="D75" t="s">
        <v>424</v>
      </c>
      <c r="J75" t="s">
        <v>368</v>
      </c>
      <c r="K75" t="s">
        <v>419</v>
      </c>
      <c r="L75">
        <v>-20.1384879905114</v>
      </c>
      <c r="M75">
        <v>13628.763061290099</v>
      </c>
      <c r="N75">
        <v>-1.47764605635496E-3</v>
      </c>
      <c r="O75">
        <v>0.99882100945434504</v>
      </c>
      <c r="P75">
        <v>1.79459226306278E-9</v>
      </c>
      <c r="Q75">
        <v>2.4458072701014702E-5</v>
      </c>
      <c r="R75" t="s">
        <v>424</v>
      </c>
    </row>
    <row r="76" spans="1:18" x14ac:dyDescent="0.3">
      <c r="A76" t="s">
        <v>360</v>
      </c>
      <c r="B76" t="s">
        <v>413</v>
      </c>
      <c r="C76">
        <v>9.3668491768143895E-6</v>
      </c>
      <c r="D76" t="s">
        <v>424</v>
      </c>
      <c r="J76" t="s">
        <v>370</v>
      </c>
      <c r="K76" t="s">
        <v>419</v>
      </c>
      <c r="L76">
        <v>-1.0986164333448301</v>
      </c>
      <c r="M76">
        <v>1.63299487092628</v>
      </c>
      <c r="N76">
        <v>-0.67276171707855104</v>
      </c>
      <c r="O76">
        <v>0.50109889661632601</v>
      </c>
      <c r="P76">
        <v>0.24999922287392001</v>
      </c>
      <c r="Q76">
        <v>0.30618590377624</v>
      </c>
      <c r="R76" t="s">
        <v>424</v>
      </c>
    </row>
    <row r="77" spans="1:18" x14ac:dyDescent="0.3">
      <c r="A77" t="s">
        <v>360</v>
      </c>
      <c r="B77" t="s">
        <v>415</v>
      </c>
      <c r="C77">
        <v>6.6965498257325098E-6</v>
      </c>
      <c r="D77" t="s">
        <v>424</v>
      </c>
      <c r="J77" t="s">
        <v>358</v>
      </c>
      <c r="K77" t="s">
        <v>420</v>
      </c>
      <c r="L77">
        <v>-0.40545562179556099</v>
      </c>
      <c r="M77">
        <v>1.4433743566831501</v>
      </c>
      <c r="N77">
        <v>-0.28090815104079497</v>
      </c>
      <c r="O77">
        <v>0.77878084865464703</v>
      </c>
      <c r="P77">
        <v>0.40000227671718502</v>
      </c>
      <c r="Q77">
        <v>0.34641050282751401</v>
      </c>
      <c r="R77" t="s">
        <v>424</v>
      </c>
    </row>
    <row r="78" spans="1:18" x14ac:dyDescent="0.3">
      <c r="A78" t="s">
        <v>358</v>
      </c>
      <c r="B78" t="s">
        <v>412</v>
      </c>
      <c r="C78">
        <v>-3.9337438506955002E-6</v>
      </c>
      <c r="D78" t="s">
        <v>424</v>
      </c>
      <c r="J78" t="s">
        <v>360</v>
      </c>
      <c r="K78" t="s">
        <v>420</v>
      </c>
      <c r="L78">
        <v>0.40546085454004699</v>
      </c>
      <c r="M78">
        <v>1.4433751119515399</v>
      </c>
      <c r="N78">
        <v>0.28091162940438802</v>
      </c>
      <c r="O78">
        <v>0.77877818069123295</v>
      </c>
      <c r="P78">
        <v>0.59999897914321798</v>
      </c>
      <c r="Q78">
        <v>0.34641032156272</v>
      </c>
      <c r="R78" t="s">
        <v>424</v>
      </c>
    </row>
    <row r="79" spans="1:18" x14ac:dyDescent="0.3">
      <c r="A79" t="s">
        <v>366</v>
      </c>
      <c r="B79" t="s">
        <v>414</v>
      </c>
      <c r="C79">
        <v>-0.13352070911509201</v>
      </c>
      <c r="D79" t="s">
        <v>424</v>
      </c>
      <c r="J79" t="s">
        <v>362</v>
      </c>
      <c r="K79" t="s">
        <v>420</v>
      </c>
      <c r="L79">
        <v>-0.133536318294384</v>
      </c>
      <c r="M79">
        <v>1.1572753623079399</v>
      </c>
      <c r="N79">
        <v>-0.11538854333516101</v>
      </c>
      <c r="O79">
        <v>0.90813715940052298</v>
      </c>
      <c r="P79">
        <v>0.46666544072236898</v>
      </c>
      <c r="Q79">
        <v>0.28803288447789499</v>
      </c>
      <c r="R79" t="s">
        <v>424</v>
      </c>
    </row>
    <row r="80" spans="1:18" x14ac:dyDescent="0.3">
      <c r="A80" t="s">
        <v>366</v>
      </c>
      <c r="B80" t="s">
        <v>415</v>
      </c>
      <c r="C80">
        <v>-0.133535704263085</v>
      </c>
      <c r="D80" t="s">
        <v>424</v>
      </c>
      <c r="J80" t="s">
        <v>364</v>
      </c>
      <c r="K80" t="s">
        <v>420</v>
      </c>
      <c r="L80">
        <v>-0.13353854602965701</v>
      </c>
      <c r="M80">
        <v>1.1572754482485199</v>
      </c>
      <c r="N80">
        <v>-0.11539045974902599</v>
      </c>
      <c r="O80">
        <v>0.90813564046930695</v>
      </c>
      <c r="P80">
        <v>0.46666488626403602</v>
      </c>
      <c r="Q80">
        <v>0.28803286308821302</v>
      </c>
      <c r="R80" t="s">
        <v>424</v>
      </c>
    </row>
    <row r="81" spans="1:18" x14ac:dyDescent="0.3">
      <c r="A81" t="s">
        <v>362</v>
      </c>
      <c r="B81" t="s">
        <v>420</v>
      </c>
      <c r="C81">
        <v>-0.133536318294384</v>
      </c>
      <c r="D81" t="s">
        <v>424</v>
      </c>
      <c r="J81" t="s">
        <v>366</v>
      </c>
      <c r="K81" t="s">
        <v>420</v>
      </c>
      <c r="L81">
        <v>0.69314396952622803</v>
      </c>
      <c r="M81">
        <v>1.2247442499644099</v>
      </c>
      <c r="N81">
        <v>0.56594996836798295</v>
      </c>
      <c r="O81">
        <v>0.57142779206956196</v>
      </c>
      <c r="P81">
        <v>0.66666595310323695</v>
      </c>
      <c r="Q81">
        <v>0.27216568019125997</v>
      </c>
      <c r="R81" t="s">
        <v>424</v>
      </c>
    </row>
    <row r="82" spans="1:18" x14ac:dyDescent="0.3">
      <c r="A82" t="s">
        <v>364</v>
      </c>
      <c r="B82" t="s">
        <v>420</v>
      </c>
      <c r="C82">
        <v>-0.13353854602965701</v>
      </c>
      <c r="D82" t="s">
        <v>424</v>
      </c>
      <c r="J82" t="s">
        <v>368</v>
      </c>
      <c r="K82" t="s">
        <v>420</v>
      </c>
      <c r="L82">
        <v>-0.69315141109144496</v>
      </c>
      <c r="M82">
        <v>1.2247457689685299</v>
      </c>
      <c r="N82">
        <v>-0.56595534245054901</v>
      </c>
      <c r="O82">
        <v>0.571424138716776</v>
      </c>
      <c r="P82">
        <v>0.33333239321588498</v>
      </c>
      <c r="Q82">
        <v>0.27216534263474601</v>
      </c>
      <c r="R82" t="s">
        <v>424</v>
      </c>
    </row>
    <row r="83" spans="1:18" x14ac:dyDescent="0.3">
      <c r="A83" t="s">
        <v>358</v>
      </c>
      <c r="B83" t="s">
        <v>419</v>
      </c>
      <c r="C83">
        <v>-0.40543863659616303</v>
      </c>
      <c r="D83" t="s">
        <v>424</v>
      </c>
      <c r="J83" t="s">
        <v>370</v>
      </c>
      <c r="K83" t="s">
        <v>420</v>
      </c>
      <c r="L83">
        <v>-0.84727185168480801</v>
      </c>
      <c r="M83">
        <v>1.5430255067254699</v>
      </c>
      <c r="N83">
        <v>-0.54909776150288403</v>
      </c>
      <c r="O83">
        <v>0.58293836135723398</v>
      </c>
      <c r="P83">
        <v>0.30000546185591398</v>
      </c>
      <c r="Q83">
        <v>0.32403872747951201</v>
      </c>
      <c r="R83" t="s">
        <v>424</v>
      </c>
    </row>
    <row r="84" spans="1:18" x14ac:dyDescent="0.3">
      <c r="A84" t="s">
        <v>358</v>
      </c>
      <c r="B84" t="s">
        <v>421</v>
      </c>
      <c r="C84">
        <v>-0.40544452600313802</v>
      </c>
      <c r="D84" t="s">
        <v>424</v>
      </c>
      <c r="J84" t="s">
        <v>358</v>
      </c>
      <c r="K84" t="s">
        <v>421</v>
      </c>
      <c r="L84">
        <v>-0.40544452600313802</v>
      </c>
      <c r="M84">
        <v>1.44337275520389</v>
      </c>
      <c r="N84">
        <v>-0.280900775313489</v>
      </c>
      <c r="O84">
        <v>0.77878650597024601</v>
      </c>
      <c r="P84">
        <v>0.40000493971537299</v>
      </c>
      <c r="Q84">
        <v>0.34641088718383101</v>
      </c>
      <c r="R84" t="s">
        <v>424</v>
      </c>
    </row>
    <row r="85" spans="1:18" x14ac:dyDescent="0.3">
      <c r="A85" t="s">
        <v>358</v>
      </c>
      <c r="B85" t="s">
        <v>420</v>
      </c>
      <c r="C85">
        <v>-0.40545562179556099</v>
      </c>
      <c r="D85" t="s">
        <v>424</v>
      </c>
      <c r="J85" t="s">
        <v>360</v>
      </c>
      <c r="K85" t="s">
        <v>421</v>
      </c>
      <c r="L85">
        <v>-0.40548212581085002</v>
      </c>
      <c r="M85">
        <v>1.4433781822433001</v>
      </c>
      <c r="N85">
        <v>-0.28092576900438498</v>
      </c>
      <c r="O85">
        <v>0.77876733540691001</v>
      </c>
      <c r="P85">
        <v>0.39999591575830601</v>
      </c>
      <c r="Q85">
        <v>0.34640958469324401</v>
      </c>
      <c r="R85" t="s">
        <v>424</v>
      </c>
    </row>
    <row r="86" spans="1:18" x14ac:dyDescent="0.3">
      <c r="A86" t="s">
        <v>362</v>
      </c>
      <c r="B86" t="s">
        <v>414</v>
      </c>
      <c r="C86">
        <v>-0.40545728008903498</v>
      </c>
      <c r="D86" t="s">
        <v>424</v>
      </c>
      <c r="J86" t="s">
        <v>362</v>
      </c>
      <c r="K86" t="s">
        <v>421</v>
      </c>
      <c r="L86">
        <v>-1.38632334321833</v>
      </c>
      <c r="M86">
        <v>1.44338821792911</v>
      </c>
      <c r="N86">
        <v>-0.96046463868697995</v>
      </c>
      <c r="O86">
        <v>0.33682141969604701</v>
      </c>
      <c r="P86">
        <v>0.19999536290456801</v>
      </c>
      <c r="Q86">
        <v>0.23093809896027401</v>
      </c>
      <c r="R86" t="s">
        <v>424</v>
      </c>
    </row>
    <row r="87" spans="1:18" x14ac:dyDescent="0.3">
      <c r="A87" t="s">
        <v>364</v>
      </c>
      <c r="B87" t="s">
        <v>422</v>
      </c>
      <c r="C87">
        <v>-0.40546303675651502</v>
      </c>
      <c r="D87" t="s">
        <v>424</v>
      </c>
      <c r="J87" t="s">
        <v>364</v>
      </c>
      <c r="K87" t="s">
        <v>421</v>
      </c>
      <c r="L87">
        <v>1.01158861546696</v>
      </c>
      <c r="M87">
        <v>1.3055786926839299</v>
      </c>
      <c r="N87">
        <v>0.77482010171856497</v>
      </c>
      <c r="O87">
        <v>0.43844596938339198</v>
      </c>
      <c r="P87">
        <v>0.733330928733959</v>
      </c>
      <c r="Q87">
        <v>0.25531463161215101</v>
      </c>
      <c r="R87" t="s">
        <v>424</v>
      </c>
    </row>
    <row r="88" spans="1:18" x14ac:dyDescent="0.3">
      <c r="A88" t="s">
        <v>358</v>
      </c>
      <c r="B88" t="s">
        <v>418</v>
      </c>
      <c r="C88">
        <v>-0.40546357678753803</v>
      </c>
      <c r="D88" t="s">
        <v>424</v>
      </c>
      <c r="J88" t="s">
        <v>366</v>
      </c>
      <c r="K88" t="s">
        <v>421</v>
      </c>
      <c r="L88">
        <v>-1.01159939285555</v>
      </c>
      <c r="M88">
        <v>1.3055819758385201</v>
      </c>
      <c r="N88">
        <v>-0.77482640812795101</v>
      </c>
      <c r="O88">
        <v>0.43844224239842</v>
      </c>
      <c r="P88">
        <v>0.26666696368103299</v>
      </c>
      <c r="Q88">
        <v>0.25531398957072099</v>
      </c>
      <c r="R88" t="s">
        <v>424</v>
      </c>
    </row>
    <row r="89" spans="1:18" x14ac:dyDescent="0.3">
      <c r="A89" t="s">
        <v>362</v>
      </c>
      <c r="B89" t="s">
        <v>417</v>
      </c>
      <c r="C89">
        <v>-0.40546848703509403</v>
      </c>
      <c r="D89" t="s">
        <v>424</v>
      </c>
      <c r="J89" t="s">
        <v>368</v>
      </c>
      <c r="K89" t="s">
        <v>421</v>
      </c>
      <c r="L89">
        <v>-2.6389358445558702</v>
      </c>
      <c r="M89">
        <v>2.3144282867585302</v>
      </c>
      <c r="N89">
        <v>-1.14021067736422</v>
      </c>
      <c r="O89">
        <v>0.25419854019322702</v>
      </c>
      <c r="P89">
        <v>6.6674226134976602E-2</v>
      </c>
      <c r="Q89">
        <v>0.14402403411147799</v>
      </c>
      <c r="R89" t="s">
        <v>424</v>
      </c>
    </row>
    <row r="90" spans="1:18" x14ac:dyDescent="0.3">
      <c r="A90" t="s">
        <v>368</v>
      </c>
      <c r="B90" t="s">
        <v>412</v>
      </c>
      <c r="C90">
        <v>-0.405473874400754</v>
      </c>
      <c r="D90" t="s">
        <v>424</v>
      </c>
      <c r="J90" t="s">
        <v>370</v>
      </c>
      <c r="K90" t="s">
        <v>421</v>
      </c>
      <c r="L90">
        <v>-21.4611166551053</v>
      </c>
      <c r="M90">
        <v>26403.506449292701</v>
      </c>
      <c r="N90">
        <v>-8.12813127541256E-4</v>
      </c>
      <c r="O90">
        <v>0.99935146902612704</v>
      </c>
      <c r="P90">
        <v>4.7814042253603895E-10</v>
      </c>
      <c r="Q90">
        <v>1.26245837240615E-5</v>
      </c>
      <c r="R90" t="s">
        <v>424</v>
      </c>
    </row>
    <row r="91" spans="1:18" x14ac:dyDescent="0.3">
      <c r="A91" t="s">
        <v>360</v>
      </c>
      <c r="B91" t="s">
        <v>421</v>
      </c>
      <c r="C91">
        <v>-0.40548212581085002</v>
      </c>
      <c r="D91" t="s">
        <v>424</v>
      </c>
      <c r="J91" t="s">
        <v>358</v>
      </c>
      <c r="K91" t="s">
        <v>422</v>
      </c>
      <c r="L91">
        <v>-1.3863847342133799</v>
      </c>
      <c r="M91">
        <v>1.7678148764411801</v>
      </c>
      <c r="N91">
        <v>-0.78423637717334305</v>
      </c>
      <c r="O91">
        <v>0.43290142370830298</v>
      </c>
      <c r="P91">
        <v>0.199985540697072</v>
      </c>
      <c r="Q91">
        <v>0.28283504303849799</v>
      </c>
      <c r="R91" t="s">
        <v>424</v>
      </c>
    </row>
    <row r="92" spans="1:18" x14ac:dyDescent="0.3">
      <c r="A92" t="s">
        <v>370</v>
      </c>
      <c r="B92" t="s">
        <v>423</v>
      </c>
      <c r="C92">
        <v>-0.69312642950312697</v>
      </c>
      <c r="D92" t="s">
        <v>424</v>
      </c>
      <c r="J92" t="s">
        <v>360</v>
      </c>
      <c r="K92" t="s">
        <v>422</v>
      </c>
      <c r="L92">
        <v>-0.84726982607712698</v>
      </c>
      <c r="M92">
        <v>1.5430248816305501</v>
      </c>
      <c r="N92">
        <v>-0.54909667119677297</v>
      </c>
      <c r="O92">
        <v>0.582939109555903</v>
      </c>
      <c r="P92">
        <v>0.30000588723812499</v>
      </c>
      <c r="Q92">
        <v>0.324038858750898</v>
      </c>
      <c r="R92" t="s">
        <v>424</v>
      </c>
    </row>
    <row r="93" spans="1:18" x14ac:dyDescent="0.3">
      <c r="A93" t="s">
        <v>366</v>
      </c>
      <c r="B93" t="s">
        <v>418</v>
      </c>
      <c r="C93">
        <v>-0.69314475025149003</v>
      </c>
      <c r="D93" t="s">
        <v>424</v>
      </c>
      <c r="J93" t="s">
        <v>362</v>
      </c>
      <c r="K93" t="s">
        <v>422</v>
      </c>
      <c r="L93">
        <v>1.01160651039565</v>
      </c>
      <c r="M93">
        <v>1.3055841441012599</v>
      </c>
      <c r="N93">
        <v>0.77483057294021995</v>
      </c>
      <c r="O93">
        <v>0.43843978107235998</v>
      </c>
      <c r="P93">
        <v>0.733334428192149</v>
      </c>
      <c r="Q93">
        <v>0.25531356555520401</v>
      </c>
      <c r="R93" t="s">
        <v>424</v>
      </c>
    </row>
    <row r="94" spans="1:18" x14ac:dyDescent="0.3">
      <c r="A94" t="s">
        <v>368</v>
      </c>
      <c r="B94" t="s">
        <v>420</v>
      </c>
      <c r="C94">
        <v>-0.69315141109144496</v>
      </c>
      <c r="D94" t="s">
        <v>424</v>
      </c>
      <c r="J94" t="s">
        <v>364</v>
      </c>
      <c r="K94" t="s">
        <v>422</v>
      </c>
      <c r="L94">
        <v>-0.40546303675651502</v>
      </c>
      <c r="M94">
        <v>1.1785111010791001</v>
      </c>
      <c r="N94">
        <v>-0.34404685402221002</v>
      </c>
      <c r="O94">
        <v>0.73081105005091596</v>
      </c>
      <c r="P94">
        <v>0.40000049712449898</v>
      </c>
      <c r="Q94">
        <v>0.28284278143204</v>
      </c>
      <c r="R94" t="s">
        <v>424</v>
      </c>
    </row>
    <row r="95" spans="1:18" x14ac:dyDescent="0.3">
      <c r="A95" t="s">
        <v>362</v>
      </c>
      <c r="B95" t="s">
        <v>416</v>
      </c>
      <c r="C95">
        <v>-0.69315613427738998</v>
      </c>
      <c r="D95" t="s">
        <v>424</v>
      </c>
      <c r="J95" t="s">
        <v>366</v>
      </c>
      <c r="K95" t="s">
        <v>422</v>
      </c>
      <c r="L95">
        <v>-1.8717931605289699</v>
      </c>
      <c r="M95">
        <v>1.69840989286366</v>
      </c>
      <c r="N95">
        <v>-1.10208564398608</v>
      </c>
      <c r="O95">
        <v>0.27042443998927601</v>
      </c>
      <c r="P95">
        <v>0.13333437522872499</v>
      </c>
      <c r="Q95">
        <v>0.19626199641039099</v>
      </c>
      <c r="R95" t="s">
        <v>424</v>
      </c>
    </row>
    <row r="96" spans="1:18" x14ac:dyDescent="0.3">
      <c r="A96" t="s">
        <v>360</v>
      </c>
      <c r="B96" t="s">
        <v>422</v>
      </c>
      <c r="C96">
        <v>-0.84726982607712698</v>
      </c>
      <c r="D96" t="s">
        <v>424</v>
      </c>
      <c r="J96" t="s">
        <v>368</v>
      </c>
      <c r="K96" t="s">
        <v>422</v>
      </c>
      <c r="L96">
        <v>-1.3862995709783199</v>
      </c>
      <c r="M96">
        <v>1.4433779241021201</v>
      </c>
      <c r="N96">
        <v>-0.96045501862631899</v>
      </c>
      <c r="O96">
        <v>0.33682625922637599</v>
      </c>
      <c r="P96">
        <v>0.19999916642395399</v>
      </c>
      <c r="Q96">
        <v>0.230939745956179</v>
      </c>
      <c r="R96" t="s">
        <v>424</v>
      </c>
    </row>
    <row r="97" spans="1:18" x14ac:dyDescent="0.3">
      <c r="A97" t="s">
        <v>370</v>
      </c>
      <c r="B97" t="s">
        <v>420</v>
      </c>
      <c r="C97">
        <v>-0.84727185168480801</v>
      </c>
      <c r="D97" t="s">
        <v>424</v>
      </c>
      <c r="J97" t="s">
        <v>370</v>
      </c>
      <c r="K97" t="s">
        <v>422</v>
      </c>
      <c r="L97">
        <v>-1.87178060688028</v>
      </c>
      <c r="M97">
        <v>1.6984020751318301</v>
      </c>
      <c r="N97">
        <v>-1.10208332543105</v>
      </c>
      <c r="O97">
        <v>0.27042544787792899</v>
      </c>
      <c r="P97">
        <v>0.13333582588884299</v>
      </c>
      <c r="Q97">
        <v>0.19626289980307801</v>
      </c>
      <c r="R97" t="s">
        <v>424</v>
      </c>
    </row>
    <row r="98" spans="1:18" x14ac:dyDescent="0.3">
      <c r="A98" t="s">
        <v>360</v>
      </c>
      <c r="B98" t="s">
        <v>416</v>
      </c>
      <c r="C98">
        <v>-0.84732821273936298</v>
      </c>
      <c r="D98" t="s">
        <v>424</v>
      </c>
      <c r="J98" t="s">
        <v>358</v>
      </c>
      <c r="K98" t="s">
        <v>423</v>
      </c>
      <c r="L98">
        <v>0.40540833948927701</v>
      </c>
      <c r="M98">
        <v>1.4433675326366699</v>
      </c>
      <c r="N98">
        <v>0.280876720809077</v>
      </c>
      <c r="O98">
        <v>0.77880495628952795</v>
      </c>
      <c r="P98">
        <v>0.59998637545412603</v>
      </c>
      <c r="Q98">
        <v>0.34641214061030301</v>
      </c>
      <c r="R98" t="s">
        <v>424</v>
      </c>
    </row>
    <row r="99" spans="1:18" x14ac:dyDescent="0.3">
      <c r="A99" t="s">
        <v>366</v>
      </c>
      <c r="B99" t="s">
        <v>423</v>
      </c>
      <c r="C99">
        <v>-1.0115822880409999</v>
      </c>
      <c r="D99" t="s">
        <v>424</v>
      </c>
      <c r="J99" t="s">
        <v>360</v>
      </c>
      <c r="K99" t="s">
        <v>423</v>
      </c>
      <c r="L99">
        <v>0.847291475195739</v>
      </c>
      <c r="M99">
        <v>1.5430315625486599</v>
      </c>
      <c r="N99">
        <v>0.549108324003592</v>
      </c>
      <c r="O99">
        <v>0.582931113095848</v>
      </c>
      <c r="P99">
        <v>0.69999865910808001</v>
      </c>
      <c r="Q99">
        <v>0.32403745574786702</v>
      </c>
      <c r="R99" t="s">
        <v>424</v>
      </c>
    </row>
    <row r="100" spans="1:18" x14ac:dyDescent="0.3">
      <c r="A100" t="s">
        <v>366</v>
      </c>
      <c r="B100" t="s">
        <v>421</v>
      </c>
      <c r="C100">
        <v>-1.01159939285555</v>
      </c>
      <c r="D100" t="s">
        <v>424</v>
      </c>
      <c r="J100" t="s">
        <v>362</v>
      </c>
      <c r="K100" t="s">
        <v>423</v>
      </c>
      <c r="L100">
        <v>0.69315369221414502</v>
      </c>
      <c r="M100">
        <v>1.2247462346043001</v>
      </c>
      <c r="N100">
        <v>0.56595698980703002</v>
      </c>
      <c r="O100">
        <v>0.57142301883029201</v>
      </c>
      <c r="P100">
        <v>0.66666811369936296</v>
      </c>
      <c r="Q100">
        <v>0.27216523916022001</v>
      </c>
      <c r="R100" t="s">
        <v>424</v>
      </c>
    </row>
    <row r="101" spans="1:18" x14ac:dyDescent="0.3">
      <c r="A101" t="s">
        <v>366</v>
      </c>
      <c r="B101" t="s">
        <v>419</v>
      </c>
      <c r="C101">
        <v>-1.01160070913241</v>
      </c>
      <c r="D101" t="s">
        <v>424</v>
      </c>
      <c r="J101" t="s">
        <v>364</v>
      </c>
      <c r="K101" t="s">
        <v>423</v>
      </c>
      <c r="L101">
        <v>0.69315149990119196</v>
      </c>
      <c r="M101">
        <v>1.22474578709677</v>
      </c>
      <c r="N101">
        <v>0.56595540658628296</v>
      </c>
      <c r="O101">
        <v>0.57142409511675796</v>
      </c>
      <c r="P101">
        <v>0.666667626519586</v>
      </c>
      <c r="Q101">
        <v>0.272165338606215</v>
      </c>
      <c r="R101" t="s">
        <v>424</v>
      </c>
    </row>
    <row r="102" spans="1:18" x14ac:dyDescent="0.3">
      <c r="A102" t="s">
        <v>362</v>
      </c>
      <c r="B102" t="s">
        <v>415</v>
      </c>
      <c r="C102">
        <v>-1.0116138993159201</v>
      </c>
      <c r="D102" t="s">
        <v>424</v>
      </c>
      <c r="J102" t="s">
        <v>366</v>
      </c>
      <c r="K102" t="s">
        <v>423</v>
      </c>
      <c r="L102">
        <v>-1.0115822880409999</v>
      </c>
      <c r="M102">
        <v>1.3055767651552801</v>
      </c>
      <c r="N102">
        <v>-0.77481639918790102</v>
      </c>
      <c r="O102">
        <v>0.43844815752704203</v>
      </c>
      <c r="P102">
        <v>0.26667030863826602</v>
      </c>
      <c r="Q102">
        <v>0.25531500855401601</v>
      </c>
      <c r="R102" t="s">
        <v>424</v>
      </c>
    </row>
    <row r="103" spans="1:18" x14ac:dyDescent="0.3">
      <c r="A103" t="s">
        <v>370</v>
      </c>
      <c r="B103" t="s">
        <v>414</v>
      </c>
      <c r="C103">
        <v>-1.0985929250275801</v>
      </c>
      <c r="D103" t="s">
        <v>424</v>
      </c>
      <c r="J103" t="s">
        <v>368</v>
      </c>
      <c r="K103" t="s">
        <v>423</v>
      </c>
      <c r="L103">
        <v>-2.63907913752367</v>
      </c>
      <c r="M103">
        <v>2.3145720014122801</v>
      </c>
      <c r="N103">
        <v>-1.14020178932148</v>
      </c>
      <c r="O103">
        <v>0.25420224221976201</v>
      </c>
      <c r="P103">
        <v>6.6665309742966194E-2</v>
      </c>
      <c r="Q103">
        <v>0.144015091479022</v>
      </c>
      <c r="R103" t="s">
        <v>424</v>
      </c>
    </row>
    <row r="104" spans="1:18" x14ac:dyDescent="0.3">
      <c r="A104" t="s">
        <v>370</v>
      </c>
      <c r="B104" t="s">
        <v>417</v>
      </c>
      <c r="C104">
        <v>-1.09859502719892</v>
      </c>
      <c r="D104" t="s">
        <v>424</v>
      </c>
      <c r="J104" t="s">
        <v>370</v>
      </c>
      <c r="K104" t="s">
        <v>423</v>
      </c>
      <c r="L104">
        <v>-0.69312642950312697</v>
      </c>
      <c r="M104">
        <v>1.22474066968733</v>
      </c>
      <c r="N104">
        <v>-0.56593730138812204</v>
      </c>
      <c r="O104">
        <v>0.57143640324771905</v>
      </c>
      <c r="P104">
        <v>0.33333794469524097</v>
      </c>
      <c r="Q104">
        <v>0.27216647581196401</v>
      </c>
      <c r="R104" t="s">
        <v>424</v>
      </c>
    </row>
    <row r="105" spans="1:18" x14ac:dyDescent="0.3">
      <c r="A105" t="s">
        <v>370</v>
      </c>
      <c r="B105" t="s">
        <v>419</v>
      </c>
      <c r="C105">
        <v>-1.0986164333448301</v>
      </c>
      <c r="D105" t="s">
        <v>424</v>
      </c>
    </row>
    <row r="106" spans="1:18" x14ac:dyDescent="0.3">
      <c r="A106" t="s">
        <v>358</v>
      </c>
      <c r="B106" t="s">
        <v>416</v>
      </c>
      <c r="C106">
        <v>-1.38616804193049</v>
      </c>
      <c r="D106" t="s">
        <v>424</v>
      </c>
    </row>
    <row r="107" spans="1:18" x14ac:dyDescent="0.3">
      <c r="A107" t="s">
        <v>370</v>
      </c>
      <c r="B107" t="s">
        <v>415</v>
      </c>
      <c r="C107">
        <v>-1.38625890528431</v>
      </c>
      <c r="D107" t="s">
        <v>424</v>
      </c>
    </row>
    <row r="108" spans="1:18" x14ac:dyDescent="0.3">
      <c r="A108" t="s">
        <v>368</v>
      </c>
      <c r="B108" t="s">
        <v>413</v>
      </c>
      <c r="C108">
        <v>-1.38629209778658</v>
      </c>
      <c r="D108" t="s">
        <v>424</v>
      </c>
    </row>
    <row r="109" spans="1:18" x14ac:dyDescent="0.3">
      <c r="A109" t="s">
        <v>368</v>
      </c>
      <c r="B109" t="s">
        <v>415</v>
      </c>
      <c r="C109">
        <v>-1.3862967503297201</v>
      </c>
      <c r="D109" t="s">
        <v>424</v>
      </c>
    </row>
    <row r="110" spans="1:18" x14ac:dyDescent="0.3">
      <c r="A110" t="s">
        <v>368</v>
      </c>
      <c r="B110" t="s">
        <v>422</v>
      </c>
      <c r="C110">
        <v>-1.3862995709783199</v>
      </c>
      <c r="D110" t="s">
        <v>424</v>
      </c>
    </row>
    <row r="111" spans="1:18" x14ac:dyDescent="0.3">
      <c r="A111" t="s">
        <v>360</v>
      </c>
      <c r="B111" t="s">
        <v>418</v>
      </c>
      <c r="C111">
        <v>-1.3863204149284101</v>
      </c>
      <c r="D111" t="s">
        <v>424</v>
      </c>
    </row>
    <row r="112" spans="1:18" x14ac:dyDescent="0.3">
      <c r="A112" t="s">
        <v>362</v>
      </c>
      <c r="B112" t="s">
        <v>421</v>
      </c>
      <c r="C112">
        <v>-1.38632334321833</v>
      </c>
      <c r="D112" t="s">
        <v>424</v>
      </c>
    </row>
    <row r="113" spans="1:4" x14ac:dyDescent="0.3">
      <c r="A113" t="s">
        <v>358</v>
      </c>
      <c r="B113" t="s">
        <v>422</v>
      </c>
      <c r="C113">
        <v>-1.3863847342133799</v>
      </c>
      <c r="D113" t="s">
        <v>424</v>
      </c>
    </row>
    <row r="114" spans="1:4" x14ac:dyDescent="0.3">
      <c r="A114" t="s">
        <v>370</v>
      </c>
      <c r="B114" t="s">
        <v>412</v>
      </c>
      <c r="C114">
        <v>-1.3864269776196601</v>
      </c>
      <c r="D114" t="s">
        <v>424</v>
      </c>
    </row>
    <row r="115" spans="1:4" x14ac:dyDescent="0.3">
      <c r="A115" t="s">
        <v>366</v>
      </c>
      <c r="B115" t="s">
        <v>416</v>
      </c>
      <c r="C115">
        <v>-1.7346189123250899</v>
      </c>
      <c r="D115" t="s">
        <v>424</v>
      </c>
    </row>
    <row r="116" spans="1:4" x14ac:dyDescent="0.3">
      <c r="A116" t="s">
        <v>370</v>
      </c>
      <c r="B116" t="s">
        <v>422</v>
      </c>
      <c r="C116">
        <v>-1.87178060688028</v>
      </c>
      <c r="D116" t="s">
        <v>424</v>
      </c>
    </row>
    <row r="117" spans="1:4" x14ac:dyDescent="0.3">
      <c r="A117" t="s">
        <v>368</v>
      </c>
      <c r="B117" t="s">
        <v>418</v>
      </c>
      <c r="C117">
        <v>-1.8717864841919201</v>
      </c>
      <c r="D117" t="s">
        <v>424</v>
      </c>
    </row>
    <row r="118" spans="1:4" x14ac:dyDescent="0.3">
      <c r="A118" t="s">
        <v>366</v>
      </c>
      <c r="B118" t="s">
        <v>422</v>
      </c>
      <c r="C118">
        <v>-1.8717931605289699</v>
      </c>
      <c r="D118" t="s">
        <v>424</v>
      </c>
    </row>
    <row r="119" spans="1:4" x14ac:dyDescent="0.3">
      <c r="A119" t="s">
        <v>368</v>
      </c>
      <c r="B119" t="s">
        <v>417</v>
      </c>
      <c r="C119">
        <v>-1.8718085721678701</v>
      </c>
      <c r="D119" t="s">
        <v>424</v>
      </c>
    </row>
    <row r="120" spans="1:4" x14ac:dyDescent="0.3">
      <c r="A120" t="s">
        <v>366</v>
      </c>
      <c r="B120" t="s">
        <v>413</v>
      </c>
      <c r="C120">
        <v>-1.8718117022048699</v>
      </c>
      <c r="D120" t="s">
        <v>424</v>
      </c>
    </row>
    <row r="121" spans="1:4" x14ac:dyDescent="0.3">
      <c r="A121" t="s">
        <v>362</v>
      </c>
      <c r="B121" t="s">
        <v>419</v>
      </c>
      <c r="C121">
        <v>-1.87183941748963</v>
      </c>
      <c r="D121" t="s">
        <v>424</v>
      </c>
    </row>
    <row r="122" spans="1:4" x14ac:dyDescent="0.3">
      <c r="A122" t="s">
        <v>360</v>
      </c>
      <c r="B122" t="s">
        <v>417</v>
      </c>
      <c r="C122">
        <v>-2.19720738665296</v>
      </c>
      <c r="D122" t="s">
        <v>424</v>
      </c>
    </row>
    <row r="123" spans="1:4" x14ac:dyDescent="0.3">
      <c r="A123" t="s">
        <v>368</v>
      </c>
      <c r="B123" t="s">
        <v>421</v>
      </c>
      <c r="C123">
        <v>-2.6389358445558702</v>
      </c>
      <c r="D123" t="s">
        <v>424</v>
      </c>
    </row>
    <row r="124" spans="1:4" x14ac:dyDescent="0.3">
      <c r="A124" t="s">
        <v>362</v>
      </c>
      <c r="B124" t="s">
        <v>418</v>
      </c>
      <c r="C124">
        <v>-2.6390302586451999</v>
      </c>
      <c r="D124" t="s">
        <v>424</v>
      </c>
    </row>
    <row r="125" spans="1:4" x14ac:dyDescent="0.3">
      <c r="A125" t="s">
        <v>368</v>
      </c>
      <c r="B125" t="s">
        <v>423</v>
      </c>
      <c r="C125">
        <v>-2.63907913752367</v>
      </c>
      <c r="D125" t="s">
        <v>424</v>
      </c>
    </row>
    <row r="126" spans="1:4" x14ac:dyDescent="0.3">
      <c r="A126" t="s">
        <v>368</v>
      </c>
      <c r="B126" t="s">
        <v>414</v>
      </c>
      <c r="C126">
        <v>-2.6391236495450801</v>
      </c>
      <c r="D126" t="s">
        <v>424</v>
      </c>
    </row>
    <row r="127" spans="1:4" x14ac:dyDescent="0.3">
      <c r="A127" t="s">
        <v>368</v>
      </c>
      <c r="B127" t="s">
        <v>419</v>
      </c>
      <c r="C127">
        <v>-20.1384879905114</v>
      </c>
      <c r="D127" t="s">
        <v>424</v>
      </c>
    </row>
    <row r="128" spans="1:4" x14ac:dyDescent="0.3">
      <c r="A128" t="s">
        <v>368</v>
      </c>
      <c r="B128" t="s">
        <v>416</v>
      </c>
      <c r="C128">
        <v>-20.147639128718598</v>
      </c>
      <c r="D128" t="s">
        <v>424</v>
      </c>
    </row>
    <row r="129" spans="1:4" x14ac:dyDescent="0.3">
      <c r="A129" t="s">
        <v>370</v>
      </c>
      <c r="B129" t="s">
        <v>418</v>
      </c>
      <c r="C129">
        <v>-20.5076416962299</v>
      </c>
      <c r="D129" t="s">
        <v>424</v>
      </c>
    </row>
    <row r="130" spans="1:4" x14ac:dyDescent="0.3">
      <c r="A130" t="s">
        <v>370</v>
      </c>
      <c r="B130" t="s">
        <v>421</v>
      </c>
      <c r="C130">
        <v>-21.4611166551053</v>
      </c>
      <c r="D130" t="s">
        <v>424</v>
      </c>
    </row>
    <row r="131" spans="1:4" x14ac:dyDescent="0.3">
      <c r="A131" t="s">
        <v>370</v>
      </c>
      <c r="B131" t="s">
        <v>416</v>
      </c>
      <c r="C131">
        <v>-22.369395015505301</v>
      </c>
      <c r="D131" t="s">
        <v>424</v>
      </c>
    </row>
  </sheetData>
  <conditionalFormatting sqref="F5:F7">
    <cfRule type="cellIs" dxfId="21" priority="1" operator="between">
      <formula>0.01</formula>
      <formula>0.05</formula>
    </cfRule>
    <cfRule type="cellIs" dxfId="20" priority="2" operator="between">
      <formula>0.001</formula>
      <formula>0.01</formula>
    </cfRule>
    <cfRule type="cellIs" dxfId="19" priority="3" operator="lessThan">
      <formula>0.001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4:R131"/>
  <sheetViews>
    <sheetView workbookViewId="0">
      <selection activeCell="E5" sqref="E5:E7"/>
    </sheetView>
  </sheetViews>
  <sheetFormatPr defaultColWidth="11.44140625" defaultRowHeight="14.4" x14ac:dyDescent="0.3"/>
  <sheetData>
    <row r="4" spans="1:8" x14ac:dyDescent="0.3">
      <c r="A4" s="2" t="s">
        <v>345</v>
      </c>
      <c r="B4" s="2" t="s">
        <v>346</v>
      </c>
      <c r="C4" s="2" t="s">
        <v>347</v>
      </c>
      <c r="D4" s="2" t="s">
        <v>348</v>
      </c>
      <c r="E4" s="2" t="s">
        <v>349</v>
      </c>
    </row>
    <row r="5" spans="1:8" x14ac:dyDescent="0.3">
      <c r="A5" t="s">
        <v>339</v>
      </c>
      <c r="B5">
        <v>6</v>
      </c>
      <c r="C5">
        <v>1053</v>
      </c>
      <c r="D5">
        <v>2.3456454994235401</v>
      </c>
      <c r="E5">
        <v>2.95563036220284E-2</v>
      </c>
    </row>
    <row r="6" spans="1:8" x14ac:dyDescent="0.3">
      <c r="A6" t="s">
        <v>169</v>
      </c>
      <c r="B6">
        <v>11</v>
      </c>
      <c r="C6">
        <v>1053</v>
      </c>
      <c r="D6">
        <v>0.61407117487996898</v>
      </c>
      <c r="E6">
        <v>0.81802142611485695</v>
      </c>
    </row>
    <row r="7" spans="1:8" x14ac:dyDescent="0.3">
      <c r="A7" t="s">
        <v>411</v>
      </c>
      <c r="B7">
        <v>66</v>
      </c>
      <c r="C7">
        <v>1053</v>
      </c>
      <c r="D7">
        <v>2.1221322307670198</v>
      </c>
      <c r="E7">
        <v>1.0504838163740799E-6</v>
      </c>
    </row>
    <row r="10" spans="1:8" x14ac:dyDescent="0.3">
      <c r="A10" s="2" t="s">
        <v>339</v>
      </c>
      <c r="B10" s="2" t="s">
        <v>352</v>
      </c>
      <c r="C10" s="2" t="s">
        <v>353</v>
      </c>
      <c r="D10" s="2" t="s">
        <v>354</v>
      </c>
      <c r="E10" s="2" t="s">
        <v>355</v>
      </c>
      <c r="F10" s="2" t="s">
        <v>4</v>
      </c>
      <c r="G10" s="2" t="s">
        <v>356</v>
      </c>
      <c r="H10" s="2" t="s">
        <v>357</v>
      </c>
    </row>
    <row r="11" spans="1:8" x14ac:dyDescent="0.3">
      <c r="A11" t="s">
        <v>358</v>
      </c>
      <c r="B11">
        <v>-1.3197211512053499</v>
      </c>
      <c r="C11">
        <v>0.18647080834131199</v>
      </c>
      <c r="D11">
        <v>-7.0773605957119399</v>
      </c>
      <c r="E11">
        <v>1.46925867772704E-12</v>
      </c>
      <c r="F11">
        <v>0.26720980270955003</v>
      </c>
      <c r="G11">
        <v>4.9826827907972202E-2</v>
      </c>
      <c r="H11" t="s">
        <v>390</v>
      </c>
    </row>
    <row r="12" spans="1:8" x14ac:dyDescent="0.3">
      <c r="A12" t="s">
        <v>360</v>
      </c>
      <c r="B12">
        <v>-1.1702854529090101</v>
      </c>
      <c r="C12">
        <v>0.20008974705055199</v>
      </c>
      <c r="D12">
        <v>-5.8488027005868304</v>
      </c>
      <c r="E12">
        <v>4.9512395048428102E-9</v>
      </c>
      <c r="F12">
        <v>0.31027835876290899</v>
      </c>
      <c r="G12">
        <v>6.2083518320131099E-2</v>
      </c>
      <c r="H12" t="s">
        <v>390</v>
      </c>
    </row>
    <row r="13" spans="1:8" x14ac:dyDescent="0.3">
      <c r="A13" t="s">
        <v>362</v>
      </c>
      <c r="B13">
        <v>-1.36852708004942</v>
      </c>
      <c r="C13">
        <v>0.182164453064978</v>
      </c>
      <c r="D13">
        <v>-7.5125912713676799</v>
      </c>
      <c r="E13">
        <v>5.7968299045982994E-14</v>
      </c>
      <c r="F13">
        <v>0.254481514540148</v>
      </c>
      <c r="G13">
        <v>4.6357485911353198E-2</v>
      </c>
      <c r="H13" t="s">
        <v>390</v>
      </c>
    </row>
    <row r="14" spans="1:8" x14ac:dyDescent="0.3">
      <c r="A14" t="s">
        <v>364</v>
      </c>
      <c r="B14">
        <v>-0.36056184115767498</v>
      </c>
      <c r="C14">
        <v>9.2715861593672802E-2</v>
      </c>
      <c r="D14">
        <v>-3.8888905842005501</v>
      </c>
      <c r="E14">
        <v>1.0070350250394E-4</v>
      </c>
      <c r="F14">
        <v>0.69728445289185703</v>
      </c>
      <c r="G14">
        <v>6.4649328825741301E-2</v>
      </c>
      <c r="H14" t="s">
        <v>389</v>
      </c>
    </row>
    <row r="15" spans="1:8" x14ac:dyDescent="0.3">
      <c r="A15" t="s">
        <v>366</v>
      </c>
      <c r="B15">
        <v>-1.57404928868182</v>
      </c>
      <c r="C15">
        <v>0.19758301360161901</v>
      </c>
      <c r="D15">
        <v>-7.9665213116727198</v>
      </c>
      <c r="E15">
        <v>1.63203353471379E-15</v>
      </c>
      <c r="F15">
        <v>0.20720445068618601</v>
      </c>
      <c r="G15">
        <v>4.0940079798244697E-2</v>
      </c>
      <c r="H15" t="s">
        <v>390</v>
      </c>
    </row>
    <row r="16" spans="1:8" x14ac:dyDescent="0.3">
      <c r="A16" t="s">
        <v>368</v>
      </c>
      <c r="B16">
        <v>-8.6332892469598104</v>
      </c>
      <c r="C16">
        <v>2042057.7011859301</v>
      </c>
      <c r="D16">
        <v>-4.2277401083945797E-6</v>
      </c>
      <c r="E16">
        <v>0.99999662675143997</v>
      </c>
      <c r="F16">
        <v>1.7807793846475901E-4</v>
      </c>
      <c r="G16">
        <v>363.64542565327503</v>
      </c>
      <c r="H16" t="s">
        <v>388</v>
      </c>
    </row>
    <row r="17" spans="1:18" x14ac:dyDescent="0.3">
      <c r="A17" t="s">
        <v>370</v>
      </c>
      <c r="B17">
        <v>-11.103119880569</v>
      </c>
      <c r="C17">
        <v>2500999.6966131502</v>
      </c>
      <c r="D17">
        <v>-4.4394727018978799E-6</v>
      </c>
      <c r="E17">
        <v>0.99999645781327295</v>
      </c>
      <c r="F17">
        <v>1.50652486470605E-5</v>
      </c>
      <c r="G17">
        <v>37.678182295699997</v>
      </c>
      <c r="H17" t="s">
        <v>388</v>
      </c>
    </row>
    <row r="20" spans="1:18" x14ac:dyDescent="0.3">
      <c r="A20" s="2" t="s">
        <v>169</v>
      </c>
      <c r="B20" s="2" t="s">
        <v>352</v>
      </c>
      <c r="C20" s="2" t="s">
        <v>353</v>
      </c>
      <c r="D20" s="2" t="s">
        <v>354</v>
      </c>
      <c r="E20" s="2" t="s">
        <v>355</v>
      </c>
      <c r="F20" s="2" t="s">
        <v>4</v>
      </c>
      <c r="G20" s="2" t="s">
        <v>356</v>
      </c>
      <c r="J20" s="2" t="s">
        <v>339</v>
      </c>
      <c r="K20" s="2" t="s">
        <v>169</v>
      </c>
      <c r="L20" s="2" t="s">
        <v>352</v>
      </c>
      <c r="M20" s="2" t="s">
        <v>353</v>
      </c>
      <c r="N20" s="2" t="s">
        <v>354</v>
      </c>
      <c r="O20" s="2" t="s">
        <v>355</v>
      </c>
      <c r="P20" s="2" t="s">
        <v>4</v>
      </c>
      <c r="Q20" s="2" t="s">
        <v>356</v>
      </c>
      <c r="R20" s="2" t="s">
        <v>357</v>
      </c>
    </row>
    <row r="21" spans="1:18" x14ac:dyDescent="0.3">
      <c r="A21" t="s">
        <v>412</v>
      </c>
      <c r="B21">
        <v>-1.4012223189098401</v>
      </c>
      <c r="C21">
        <v>0.25190894446288697</v>
      </c>
      <c r="D21">
        <v>-5.5624159034824396</v>
      </c>
      <c r="E21">
        <v>2.6606525836787401E-8</v>
      </c>
      <c r="F21">
        <v>0.24629572795020199</v>
      </c>
      <c r="G21">
        <v>6.20440968536538E-2</v>
      </c>
      <c r="J21" t="s">
        <v>358</v>
      </c>
      <c r="K21" t="s">
        <v>412</v>
      </c>
      <c r="L21">
        <v>-1.3862943611198799</v>
      </c>
      <c r="M21">
        <v>0.75596341537028899</v>
      </c>
      <c r="N21">
        <v>-1.8338114423709699</v>
      </c>
      <c r="O21">
        <v>6.6681988627660699E-2</v>
      </c>
      <c r="P21">
        <v>0.250000000000003</v>
      </c>
      <c r="Q21">
        <v>0.188990853842575</v>
      </c>
      <c r="R21" t="s">
        <v>424</v>
      </c>
    </row>
    <row r="22" spans="1:18" x14ac:dyDescent="0.3">
      <c r="A22" t="s">
        <v>413</v>
      </c>
      <c r="B22">
        <v>-1.5428693360096699</v>
      </c>
      <c r="C22">
        <v>0.29685371919609399</v>
      </c>
      <c r="D22">
        <v>-5.1974061170191597</v>
      </c>
      <c r="E22">
        <v>2.02088544013998E-7</v>
      </c>
      <c r="F22">
        <v>0.21376685167875301</v>
      </c>
      <c r="G22">
        <v>6.3457484961677593E-2</v>
      </c>
      <c r="J22" t="s">
        <v>360</v>
      </c>
      <c r="K22" t="s">
        <v>412</v>
      </c>
      <c r="L22">
        <v>-0.64435701639051701</v>
      </c>
      <c r="M22">
        <v>0.436477571292059</v>
      </c>
      <c r="N22">
        <v>-1.4762660415358699</v>
      </c>
      <c r="O22">
        <v>0.139872486599176</v>
      </c>
      <c r="P22">
        <v>0.52499999999999802</v>
      </c>
      <c r="Q22">
        <v>0.22915072492833</v>
      </c>
      <c r="R22" t="s">
        <v>424</v>
      </c>
    </row>
    <row r="23" spans="1:18" x14ac:dyDescent="0.3">
      <c r="A23" t="s">
        <v>414</v>
      </c>
      <c r="B23">
        <v>-1.7483370175472199</v>
      </c>
      <c r="C23">
        <v>0.36569623034403398</v>
      </c>
      <c r="D23">
        <v>-4.7808450634080897</v>
      </c>
      <c r="E23">
        <v>1.7455985924923299E-6</v>
      </c>
      <c r="F23">
        <v>0.174063166889251</v>
      </c>
      <c r="G23">
        <v>6.3654243973143398E-2</v>
      </c>
      <c r="J23" t="s">
        <v>362</v>
      </c>
      <c r="K23" t="s">
        <v>412</v>
      </c>
      <c r="L23">
        <v>-1.2039728043259399</v>
      </c>
      <c r="M23">
        <v>0.47143031517440398</v>
      </c>
      <c r="N23">
        <v>-2.5538722597432799</v>
      </c>
      <c r="O23">
        <v>1.06532332122254E-2</v>
      </c>
      <c r="P23">
        <v>0.29999999999999799</v>
      </c>
      <c r="Q23">
        <v>0.14142909455232</v>
      </c>
      <c r="R23" t="s">
        <v>424</v>
      </c>
    </row>
    <row r="24" spans="1:18" x14ac:dyDescent="0.3">
      <c r="A24" t="s">
        <v>415</v>
      </c>
      <c r="B24">
        <v>-1.58975016093303</v>
      </c>
      <c r="C24">
        <v>0.26661551174356202</v>
      </c>
      <c r="D24">
        <v>-5.9627069353042401</v>
      </c>
      <c r="E24">
        <v>2.4809315444535101E-9</v>
      </c>
      <c r="F24">
        <v>0.203976566683784</v>
      </c>
      <c r="G24">
        <v>5.4383316710092097E-2</v>
      </c>
      <c r="J24" t="s">
        <v>364</v>
      </c>
      <c r="K24" t="s">
        <v>412</v>
      </c>
      <c r="L24">
        <v>-0.83624802420061795</v>
      </c>
      <c r="M24">
        <v>0.39226327089006002</v>
      </c>
      <c r="N24">
        <v>-2.1318540028056701</v>
      </c>
      <c r="O24">
        <v>3.3018850555040599E-2</v>
      </c>
      <c r="P24">
        <v>0.43333333333333401</v>
      </c>
      <c r="Q24">
        <v>0.16998075071902599</v>
      </c>
      <c r="R24" t="s">
        <v>424</v>
      </c>
    </row>
    <row r="25" spans="1:18" x14ac:dyDescent="0.3">
      <c r="A25" t="s">
        <v>416</v>
      </c>
      <c r="B25">
        <v>-11.577113981693801</v>
      </c>
      <c r="C25">
        <v>3500670.3448901302</v>
      </c>
      <c r="D25">
        <v>-3.3071134500261398E-6</v>
      </c>
      <c r="E25">
        <v>0.99999736130523698</v>
      </c>
      <c r="F25">
        <v>9.3782818656815594E-6</v>
      </c>
      <c r="G25">
        <v>32.830273213212301</v>
      </c>
      <c r="J25" t="s">
        <v>366</v>
      </c>
      <c r="K25" t="s">
        <v>412</v>
      </c>
      <c r="L25">
        <v>-0.72704873223562405</v>
      </c>
      <c r="M25">
        <v>0.37142341650194299</v>
      </c>
      <c r="N25">
        <v>-1.9574660614641699</v>
      </c>
      <c r="O25">
        <v>5.0292698190060797E-2</v>
      </c>
      <c r="P25">
        <v>0.483333333333335</v>
      </c>
      <c r="Q25">
        <v>0.17952131797594001</v>
      </c>
      <c r="R25" t="s">
        <v>424</v>
      </c>
    </row>
    <row r="26" spans="1:18" x14ac:dyDescent="0.3">
      <c r="A26" t="s">
        <v>417</v>
      </c>
      <c r="B26">
        <v>-1.61043343662212</v>
      </c>
      <c r="C26">
        <v>0.30935727472851998</v>
      </c>
      <c r="D26">
        <v>-5.2057396679466201</v>
      </c>
      <c r="E26">
        <v>1.9322537859425601E-7</v>
      </c>
      <c r="F26">
        <v>0.199800994236358</v>
      </c>
      <c r="G26">
        <v>6.1809891065008497E-2</v>
      </c>
      <c r="J26" t="s">
        <v>368</v>
      </c>
      <c r="K26" t="s">
        <v>412</v>
      </c>
      <c r="L26">
        <v>-2.01490302054227</v>
      </c>
      <c r="M26">
        <v>0.707123977703498</v>
      </c>
      <c r="N26">
        <v>-2.8494338815747802</v>
      </c>
      <c r="O26">
        <v>4.3797107900618798E-3</v>
      </c>
      <c r="P26">
        <v>0.133333333333332</v>
      </c>
      <c r="Q26">
        <v>9.4283197027132101E-2</v>
      </c>
      <c r="R26" t="s">
        <v>424</v>
      </c>
    </row>
    <row r="27" spans="1:18" x14ac:dyDescent="0.3">
      <c r="A27" t="s">
        <v>418</v>
      </c>
      <c r="B27">
        <v>-6.7004716103310296</v>
      </c>
      <c r="C27">
        <v>2475347.7395704798</v>
      </c>
      <c r="D27">
        <v>-2.7068809376632002E-6</v>
      </c>
      <c r="E27">
        <v>0.99999784022149196</v>
      </c>
      <c r="F27">
        <v>1.23033152876952E-3</v>
      </c>
      <c r="G27">
        <v>3045.4983686619098</v>
      </c>
      <c r="J27" t="s">
        <v>370</v>
      </c>
      <c r="K27" t="s">
        <v>412</v>
      </c>
      <c r="L27">
        <v>-2.9957322735540002</v>
      </c>
      <c r="M27">
        <v>1.15471106913226</v>
      </c>
      <c r="N27">
        <v>-2.59435659156297</v>
      </c>
      <c r="O27">
        <v>9.4768139694198193E-3</v>
      </c>
      <c r="P27">
        <v>4.9999999999999697E-2</v>
      </c>
      <c r="Q27">
        <v>5.7735553456612403E-2</v>
      </c>
      <c r="R27" t="s">
        <v>424</v>
      </c>
    </row>
    <row r="28" spans="1:18" x14ac:dyDescent="0.3">
      <c r="A28" t="s">
        <v>419</v>
      </c>
      <c r="B28">
        <v>-6.8299092065454499</v>
      </c>
      <c r="C28">
        <v>2475347.7395704701</v>
      </c>
      <c r="D28">
        <v>-2.7591716094525701E-6</v>
      </c>
      <c r="E28">
        <v>0.99999779849957204</v>
      </c>
      <c r="F28">
        <v>1.0809562569008299E-3</v>
      </c>
      <c r="G28">
        <v>2675.74262709404</v>
      </c>
      <c r="J28" t="s">
        <v>358</v>
      </c>
      <c r="K28" t="s">
        <v>413</v>
      </c>
      <c r="L28">
        <v>-1.7429693050586399</v>
      </c>
      <c r="M28">
        <v>0.75595307472978002</v>
      </c>
      <c r="N28">
        <v>-2.3056580670455902</v>
      </c>
      <c r="O28">
        <v>2.1129745925259701E-2</v>
      </c>
      <c r="P28">
        <v>0.17499999999999799</v>
      </c>
      <c r="Q28">
        <v>0.13229178807771</v>
      </c>
      <c r="R28" t="s">
        <v>424</v>
      </c>
    </row>
    <row r="29" spans="1:18" x14ac:dyDescent="0.3">
      <c r="A29" t="s">
        <v>420</v>
      </c>
      <c r="B29">
        <v>-1.27835099890658</v>
      </c>
      <c r="C29">
        <v>0.22254087839338399</v>
      </c>
      <c r="D29">
        <v>-5.7443423794115001</v>
      </c>
      <c r="E29">
        <v>9.2278906374031997E-9</v>
      </c>
      <c r="F29">
        <v>0.27849616249367798</v>
      </c>
      <c r="G29">
        <v>6.1976780630529901E-2</v>
      </c>
      <c r="J29" t="s">
        <v>360</v>
      </c>
      <c r="K29" t="s">
        <v>413</v>
      </c>
      <c r="L29">
        <v>-0.69314718055994295</v>
      </c>
      <c r="M29">
        <v>0.447254379257291</v>
      </c>
      <c r="N29">
        <v>-1.5497828813012</v>
      </c>
      <c r="O29">
        <v>0.12119363716964</v>
      </c>
      <c r="P29">
        <v>0.500000000000001</v>
      </c>
      <c r="Q29">
        <v>0.223627189628646</v>
      </c>
      <c r="R29" t="s">
        <v>424</v>
      </c>
    </row>
    <row r="30" spans="1:18" x14ac:dyDescent="0.3">
      <c r="A30" t="s">
        <v>421</v>
      </c>
      <c r="B30">
        <v>-6.6220611659030197</v>
      </c>
      <c r="C30">
        <v>2475347.7395704701</v>
      </c>
      <c r="D30">
        <v>-2.6752044005954901E-6</v>
      </c>
      <c r="E30">
        <v>0.99999786549571201</v>
      </c>
      <c r="F30">
        <v>1.33068535374644E-3</v>
      </c>
      <c r="G30">
        <v>3293.9089824757798</v>
      </c>
      <c r="J30" t="s">
        <v>362</v>
      </c>
      <c r="K30" t="s">
        <v>413</v>
      </c>
      <c r="L30">
        <v>-1.0498221244986701</v>
      </c>
      <c r="M30">
        <v>0.43646364146330302</v>
      </c>
      <c r="N30">
        <v>-2.4052911279826299</v>
      </c>
      <c r="O30">
        <v>1.6159586642950301E-2</v>
      </c>
      <c r="P30">
        <v>0.35000000000000098</v>
      </c>
      <c r="Q30">
        <v>0.15276227451215699</v>
      </c>
      <c r="R30" t="s">
        <v>424</v>
      </c>
    </row>
    <row r="31" spans="1:18" x14ac:dyDescent="0.3">
      <c r="A31" t="s">
        <v>422</v>
      </c>
      <c r="B31">
        <v>-1.6233035013242101</v>
      </c>
      <c r="C31">
        <v>0.27511643161733501</v>
      </c>
      <c r="D31">
        <v>-5.9004236561998296</v>
      </c>
      <c r="E31">
        <v>3.6256935888953402E-9</v>
      </c>
      <c r="F31">
        <v>0.19724601912724801</v>
      </c>
      <c r="G31">
        <v>5.4265620933013001E-2</v>
      </c>
      <c r="J31" t="s">
        <v>364</v>
      </c>
      <c r="K31" t="s">
        <v>413</v>
      </c>
      <c r="L31">
        <v>0.32449604557450101</v>
      </c>
      <c r="M31">
        <v>0.21958390407212</v>
      </c>
      <c r="N31">
        <v>1.4777770116880899</v>
      </c>
      <c r="O31">
        <v>0.139467473393518</v>
      </c>
      <c r="P31">
        <v>1.38333333333334</v>
      </c>
      <c r="Q31">
        <v>0.30375773396643302</v>
      </c>
      <c r="R31" t="s">
        <v>424</v>
      </c>
    </row>
    <row r="32" spans="1:18" x14ac:dyDescent="0.3">
      <c r="A32" t="s">
        <v>423</v>
      </c>
      <c r="B32">
        <v>-1.24112687932898</v>
      </c>
      <c r="C32">
        <v>0.23182847084487601</v>
      </c>
      <c r="D32">
        <v>-5.3536430396396497</v>
      </c>
      <c r="E32">
        <v>8.6200833037676497E-8</v>
      </c>
      <c r="F32">
        <v>0.28905830051501602</v>
      </c>
      <c r="G32">
        <v>6.7011943793415005E-2</v>
      </c>
      <c r="J32" t="s">
        <v>366</v>
      </c>
      <c r="K32" t="s">
        <v>413</v>
      </c>
      <c r="L32">
        <v>-3.4011973816621599</v>
      </c>
      <c r="M32">
        <v>1.4142221607099701</v>
      </c>
      <c r="N32">
        <v>-2.4049951104957099</v>
      </c>
      <c r="O32">
        <v>1.6172682166824499E-2</v>
      </c>
      <c r="P32">
        <v>3.3333333333333097E-2</v>
      </c>
      <c r="Q32">
        <v>4.7140738690332099E-2</v>
      </c>
      <c r="R32" t="s">
        <v>424</v>
      </c>
    </row>
    <row r="33" spans="1:18" x14ac:dyDescent="0.3">
      <c r="J33" t="s">
        <v>368</v>
      </c>
      <c r="K33" t="s">
        <v>413</v>
      </c>
      <c r="L33">
        <v>-2.7080502011022101</v>
      </c>
      <c r="M33">
        <v>1.0000121598476699</v>
      </c>
      <c r="N33">
        <v>-2.7080172720246898</v>
      </c>
      <c r="O33">
        <v>6.7686499713580503E-3</v>
      </c>
      <c r="P33">
        <v>6.6666666666666402E-2</v>
      </c>
      <c r="Q33">
        <v>6.6667477323178001E-2</v>
      </c>
      <c r="R33" t="s">
        <v>424</v>
      </c>
    </row>
    <row r="34" spans="1:18" x14ac:dyDescent="0.3">
      <c r="J34" t="s">
        <v>370</v>
      </c>
      <c r="K34" t="s">
        <v>413</v>
      </c>
      <c r="L34">
        <v>-1.5293952047605599</v>
      </c>
      <c r="M34">
        <v>0.55472211740251098</v>
      </c>
      <c r="N34">
        <v>-2.7570474599461798</v>
      </c>
      <c r="O34">
        <v>5.8325885254955998E-3</v>
      </c>
      <c r="P34">
        <v>0.21666666666666801</v>
      </c>
      <c r="Q34">
        <v>0.12018979210387799</v>
      </c>
      <c r="R34" t="s">
        <v>424</v>
      </c>
    </row>
    <row r="35" spans="1:18" x14ac:dyDescent="0.3">
      <c r="J35" t="s">
        <v>358</v>
      </c>
      <c r="K35" t="s">
        <v>414</v>
      </c>
      <c r="L35">
        <v>-1.1239300966524099</v>
      </c>
      <c r="M35">
        <v>0.55473307766631097</v>
      </c>
      <c r="N35">
        <v>-2.0260736954440102</v>
      </c>
      <c r="O35">
        <v>4.2757233213712102E-2</v>
      </c>
      <c r="P35">
        <v>0.32499999999999601</v>
      </c>
      <c r="Q35">
        <v>0.18028825024154899</v>
      </c>
      <c r="R35" t="s">
        <v>424</v>
      </c>
    </row>
    <row r="36" spans="1:18" x14ac:dyDescent="0.3">
      <c r="J36" t="s">
        <v>360</v>
      </c>
      <c r="K36" t="s">
        <v>414</v>
      </c>
      <c r="L36">
        <v>-0.59783700075562296</v>
      </c>
      <c r="M36">
        <v>0.42644420688175</v>
      </c>
      <c r="N36">
        <v>-1.4019114132822501</v>
      </c>
      <c r="O36">
        <v>0.160941701840808</v>
      </c>
      <c r="P36">
        <v>0.54999999999999905</v>
      </c>
      <c r="Q36">
        <v>0.23454431378496199</v>
      </c>
      <c r="R36" t="s">
        <v>424</v>
      </c>
    </row>
    <row r="37" spans="1:18" x14ac:dyDescent="0.3">
      <c r="A37" s="2" t="s">
        <v>339</v>
      </c>
      <c r="B37" s="2" t="s">
        <v>352</v>
      </c>
      <c r="C37" s="2" t="s">
        <v>357</v>
      </c>
      <c r="J37" t="s">
        <v>362</v>
      </c>
      <c r="K37" t="s">
        <v>414</v>
      </c>
      <c r="L37">
        <v>-1.6094379124341001</v>
      </c>
      <c r="M37">
        <v>0.57737133040751598</v>
      </c>
      <c r="N37">
        <v>-2.7875265495052099</v>
      </c>
      <c r="O37">
        <v>5.3112102043415899E-3</v>
      </c>
      <c r="P37">
        <v>0.20000000000000101</v>
      </c>
      <c r="Q37">
        <v>0.115474266081504</v>
      </c>
      <c r="R37" t="s">
        <v>424</v>
      </c>
    </row>
    <row r="38" spans="1:18" x14ac:dyDescent="0.3">
      <c r="A38" t="s">
        <v>364</v>
      </c>
      <c r="B38">
        <v>-0.36056184115767498</v>
      </c>
      <c r="C38" t="s">
        <v>389</v>
      </c>
      <c r="J38" t="s">
        <v>364</v>
      </c>
      <c r="K38" t="s">
        <v>414</v>
      </c>
      <c r="L38">
        <v>-0.28768207245177602</v>
      </c>
      <c r="M38">
        <v>0.298183179827608</v>
      </c>
      <c r="N38">
        <v>-0.96478303242354801</v>
      </c>
      <c r="O38">
        <v>0.334653496235364</v>
      </c>
      <c r="P38">
        <v>0.750000000000004</v>
      </c>
      <c r="Q38">
        <v>0.223637384870707</v>
      </c>
      <c r="R38" t="s">
        <v>424</v>
      </c>
    </row>
    <row r="39" spans="1:18" x14ac:dyDescent="0.3">
      <c r="A39" t="s">
        <v>360</v>
      </c>
      <c r="B39">
        <v>-1.1702854529090101</v>
      </c>
      <c r="C39" t="s">
        <v>390</v>
      </c>
      <c r="J39" t="s">
        <v>366</v>
      </c>
      <c r="K39" t="s">
        <v>414</v>
      </c>
      <c r="L39">
        <v>-1.5293952047605599</v>
      </c>
      <c r="M39">
        <v>0.55472211740250499</v>
      </c>
      <c r="N39">
        <v>-2.75704745994621</v>
      </c>
      <c r="O39">
        <v>5.8325885254950204E-3</v>
      </c>
      <c r="P39">
        <v>0.21666666666666701</v>
      </c>
      <c r="Q39">
        <v>0.12018979210387599</v>
      </c>
      <c r="R39" t="s">
        <v>424</v>
      </c>
    </row>
    <row r="40" spans="1:18" x14ac:dyDescent="0.3">
      <c r="A40" t="s">
        <v>358</v>
      </c>
      <c r="B40">
        <v>-1.3197211512053499</v>
      </c>
      <c r="C40" t="s">
        <v>390</v>
      </c>
      <c r="J40" t="s">
        <v>368</v>
      </c>
      <c r="K40" t="s">
        <v>414</v>
      </c>
      <c r="L40">
        <v>-4.0943445622221004</v>
      </c>
      <c r="M40">
        <v>2.00000607995154</v>
      </c>
      <c r="N40">
        <v>-2.0471660577758302</v>
      </c>
      <c r="O40">
        <v>4.0641782833525798E-2</v>
      </c>
      <c r="P40">
        <v>1.6666666666666701E-2</v>
      </c>
      <c r="Q40">
        <v>3.3333434665859203E-2</v>
      </c>
      <c r="R40" t="s">
        <v>424</v>
      </c>
    </row>
    <row r="41" spans="1:18" x14ac:dyDescent="0.3">
      <c r="A41" t="s">
        <v>362</v>
      </c>
      <c r="B41">
        <v>-1.36852708004942</v>
      </c>
      <c r="C41" t="s">
        <v>390</v>
      </c>
      <c r="J41" t="s">
        <v>370</v>
      </c>
      <c r="K41" t="s">
        <v>414</v>
      </c>
      <c r="L41">
        <v>-2.99573227355399</v>
      </c>
      <c r="M41">
        <v>1.15471106913225</v>
      </c>
      <c r="N41">
        <v>-2.59435659156299</v>
      </c>
      <c r="O41">
        <v>9.4768139694193995E-3</v>
      </c>
      <c r="P41">
        <v>0.05</v>
      </c>
      <c r="Q41">
        <v>5.7735553456612299E-2</v>
      </c>
      <c r="R41" t="s">
        <v>424</v>
      </c>
    </row>
    <row r="42" spans="1:18" x14ac:dyDescent="0.3">
      <c r="A42" t="s">
        <v>366</v>
      </c>
      <c r="B42">
        <v>-1.57404928868182</v>
      </c>
      <c r="C42" t="s">
        <v>390</v>
      </c>
      <c r="J42" t="s">
        <v>358</v>
      </c>
      <c r="K42" t="s">
        <v>415</v>
      </c>
      <c r="L42">
        <v>-0.85566611005773296</v>
      </c>
      <c r="M42">
        <v>0.485108851096205</v>
      </c>
      <c r="N42">
        <v>-1.7638641474468599</v>
      </c>
      <c r="O42">
        <v>7.7754854330466999E-2</v>
      </c>
      <c r="P42">
        <v>0.42499999999999399</v>
      </c>
      <c r="Q42">
        <v>0.20617126171588401</v>
      </c>
      <c r="R42" t="s">
        <v>424</v>
      </c>
    </row>
    <row r="43" spans="1:18" x14ac:dyDescent="0.3">
      <c r="A43" t="s">
        <v>368</v>
      </c>
      <c r="B43">
        <v>-8.6332892469598104</v>
      </c>
      <c r="C43" t="s">
        <v>388</v>
      </c>
      <c r="J43" t="s">
        <v>360</v>
      </c>
      <c r="K43" t="s">
        <v>415</v>
      </c>
      <c r="L43">
        <v>-1.6094379124341101</v>
      </c>
      <c r="M43">
        <v>0.70713257580514999</v>
      </c>
      <c r="N43">
        <v>-2.2760058969162702</v>
      </c>
      <c r="O43">
        <v>2.2845656674104001E-2</v>
      </c>
      <c r="P43">
        <v>0.19999999999999801</v>
      </c>
      <c r="Q43">
        <v>0.141426515161028</v>
      </c>
      <c r="R43" t="s">
        <v>424</v>
      </c>
    </row>
    <row r="44" spans="1:18" x14ac:dyDescent="0.3">
      <c r="A44" t="s">
        <v>370</v>
      </c>
      <c r="B44">
        <v>-11.103119880569</v>
      </c>
      <c r="C44" t="s">
        <v>388</v>
      </c>
      <c r="J44" t="s">
        <v>362</v>
      </c>
      <c r="K44" t="s">
        <v>415</v>
      </c>
      <c r="L44">
        <v>-1.3217558399823199</v>
      </c>
      <c r="M44">
        <v>0.50002431925179103</v>
      </c>
      <c r="N44">
        <v>-2.6433831097658</v>
      </c>
      <c r="O44">
        <v>8.2082101755952003E-3</v>
      </c>
      <c r="P44">
        <v>0.266666666666666</v>
      </c>
      <c r="Q44">
        <v>0.13333981846714399</v>
      </c>
      <c r="R44" t="s">
        <v>424</v>
      </c>
    </row>
    <row r="45" spans="1:18" x14ac:dyDescent="0.3">
      <c r="J45" t="s">
        <v>364</v>
      </c>
      <c r="K45" t="s">
        <v>415</v>
      </c>
      <c r="L45">
        <v>-0.53899650073268801</v>
      </c>
      <c r="M45">
        <v>0.33809766951123699</v>
      </c>
      <c r="N45">
        <v>-1.5942035374330601</v>
      </c>
      <c r="O45">
        <v>0.110890454479926</v>
      </c>
      <c r="P45">
        <v>0.58333333333333304</v>
      </c>
      <c r="Q45">
        <v>0.197223640548222</v>
      </c>
      <c r="R45" t="s">
        <v>424</v>
      </c>
    </row>
    <row r="46" spans="1:18" x14ac:dyDescent="0.3">
      <c r="J46" t="s">
        <v>366</v>
      </c>
      <c r="K46" t="s">
        <v>415</v>
      </c>
      <c r="L46">
        <v>-1.3217558399823199</v>
      </c>
      <c r="M46">
        <v>0.50002431925178903</v>
      </c>
      <c r="N46">
        <v>-2.6433831097657898</v>
      </c>
      <c r="O46">
        <v>8.2082101755952507E-3</v>
      </c>
      <c r="P46">
        <v>0.266666666666667</v>
      </c>
      <c r="Q46">
        <v>0.13333981846714399</v>
      </c>
      <c r="R46" t="s">
        <v>424</v>
      </c>
    </row>
    <row r="47" spans="1:18" x14ac:dyDescent="0.3">
      <c r="A47" s="2" t="s">
        <v>339</v>
      </c>
      <c r="B47" s="2" t="s">
        <v>169</v>
      </c>
      <c r="C47" s="2" t="s">
        <v>352</v>
      </c>
      <c r="D47" s="2" t="s">
        <v>357</v>
      </c>
      <c r="J47" t="s">
        <v>368</v>
      </c>
      <c r="K47" t="s">
        <v>415</v>
      </c>
      <c r="L47">
        <v>-2.99573227355401</v>
      </c>
      <c r="M47">
        <v>1.15471106913225</v>
      </c>
      <c r="N47">
        <v>-2.59435659156301</v>
      </c>
      <c r="O47">
        <v>9.4768139694188392E-3</v>
      </c>
      <c r="P47">
        <v>4.9999999999998997E-2</v>
      </c>
      <c r="Q47">
        <v>5.7735553456611098E-2</v>
      </c>
      <c r="R47" t="s">
        <v>424</v>
      </c>
    </row>
    <row r="48" spans="1:18" x14ac:dyDescent="0.3">
      <c r="A48" t="s">
        <v>364</v>
      </c>
      <c r="B48" t="s">
        <v>413</v>
      </c>
      <c r="C48">
        <v>0.32449604557450101</v>
      </c>
      <c r="D48" t="s">
        <v>424</v>
      </c>
      <c r="J48" t="s">
        <v>370</v>
      </c>
      <c r="K48" t="s">
        <v>415</v>
      </c>
      <c r="L48">
        <v>-2.4849066497879999</v>
      </c>
      <c r="M48">
        <v>0.89444078610225597</v>
      </c>
      <c r="N48">
        <v>-2.77816786577521</v>
      </c>
      <c r="O48">
        <v>5.4666368520291499E-3</v>
      </c>
      <c r="P48">
        <v>8.3333333333332996E-2</v>
      </c>
      <c r="Q48">
        <v>7.4536732175187706E-2</v>
      </c>
      <c r="R48" t="s">
        <v>424</v>
      </c>
    </row>
    <row r="49" spans="1:18" x14ac:dyDescent="0.3">
      <c r="A49" t="s">
        <v>364</v>
      </c>
      <c r="B49" t="s">
        <v>421</v>
      </c>
      <c r="C49">
        <v>0.209720530982067</v>
      </c>
      <c r="D49" t="s">
        <v>424</v>
      </c>
      <c r="J49" t="s">
        <v>358</v>
      </c>
      <c r="K49" t="s">
        <v>416</v>
      </c>
      <c r="L49">
        <v>-1.89711998488589</v>
      </c>
      <c r="M49">
        <v>0.81651891982456803</v>
      </c>
      <c r="N49">
        <v>-2.3234244042911998</v>
      </c>
      <c r="O49">
        <v>2.0156364355522299E-2</v>
      </c>
      <c r="P49">
        <v>0.149999999999998</v>
      </c>
      <c r="Q49">
        <v>0.122477837973684</v>
      </c>
      <c r="R49" t="s">
        <v>424</v>
      </c>
    </row>
    <row r="50" spans="1:18" x14ac:dyDescent="0.3">
      <c r="A50" t="s">
        <v>364</v>
      </c>
      <c r="B50" t="s">
        <v>416</v>
      </c>
      <c r="C50">
        <v>0.12516314295401099</v>
      </c>
      <c r="D50" t="s">
        <v>424</v>
      </c>
      <c r="J50" t="s">
        <v>360</v>
      </c>
      <c r="K50" t="s">
        <v>416</v>
      </c>
      <c r="L50">
        <v>-0.79850769621777695</v>
      </c>
      <c r="M50">
        <v>0.47144321183685001</v>
      </c>
      <c r="N50">
        <v>-1.69375160394527</v>
      </c>
      <c r="O50">
        <v>9.0312493978651903E-2</v>
      </c>
      <c r="P50">
        <v>0.44999999999999801</v>
      </c>
      <c r="Q50">
        <v>0.212149445326582</v>
      </c>
      <c r="R50" t="s">
        <v>424</v>
      </c>
    </row>
    <row r="51" spans="1:18" x14ac:dyDescent="0.3">
      <c r="A51" t="s">
        <v>360</v>
      </c>
      <c r="B51" t="s">
        <v>423</v>
      </c>
      <c r="C51">
        <v>7.2320661579626994E-2</v>
      </c>
      <c r="D51" t="s">
        <v>424</v>
      </c>
      <c r="J51" t="s">
        <v>362</v>
      </c>
      <c r="K51" t="s">
        <v>416</v>
      </c>
      <c r="L51">
        <v>-1.89711998488588</v>
      </c>
      <c r="M51">
        <v>0.66668490629956001</v>
      </c>
      <c r="N51">
        <v>-2.8456021232216799</v>
      </c>
      <c r="O51">
        <v>4.4327543088508101E-3</v>
      </c>
      <c r="P51">
        <v>0.15000000000000099</v>
      </c>
      <c r="Q51">
        <v>0.100002735944934</v>
      </c>
      <c r="R51" t="s">
        <v>424</v>
      </c>
    </row>
    <row r="52" spans="1:18" x14ac:dyDescent="0.3">
      <c r="A52" t="s">
        <v>364</v>
      </c>
      <c r="B52" t="s">
        <v>418</v>
      </c>
      <c r="C52">
        <v>3.27898228229975E-2</v>
      </c>
      <c r="D52" t="s">
        <v>424</v>
      </c>
      <c r="J52" t="s">
        <v>364</v>
      </c>
      <c r="K52" t="s">
        <v>416</v>
      </c>
      <c r="L52">
        <v>0.12516314295401099</v>
      </c>
      <c r="M52">
        <v>0.24258575649650299</v>
      </c>
      <c r="N52">
        <v>0.51595421248821705</v>
      </c>
      <c r="O52">
        <v>0.60588638899951197</v>
      </c>
      <c r="P52">
        <v>1.13333333333334</v>
      </c>
      <c r="Q52">
        <v>0.27493052402937102</v>
      </c>
      <c r="R52" t="s">
        <v>424</v>
      </c>
    </row>
    <row r="53" spans="1:18" x14ac:dyDescent="0.3">
      <c r="A53" t="s">
        <v>364</v>
      </c>
      <c r="B53" t="s">
        <v>414</v>
      </c>
      <c r="C53">
        <v>-0.28768207245177602</v>
      </c>
      <c r="D53" t="s">
        <v>424</v>
      </c>
      <c r="J53" t="s">
        <v>366</v>
      </c>
      <c r="K53" t="s">
        <v>416</v>
      </c>
      <c r="L53">
        <v>-2.4849066497880199</v>
      </c>
      <c r="M53">
        <v>0.89444078610225797</v>
      </c>
      <c r="N53">
        <v>-2.7781678657752198</v>
      </c>
      <c r="O53">
        <v>5.4666368520290198E-3</v>
      </c>
      <c r="P53">
        <v>8.3333333333331996E-2</v>
      </c>
      <c r="Q53">
        <v>7.4536732175186998E-2</v>
      </c>
      <c r="R53" t="s">
        <v>424</v>
      </c>
    </row>
    <row r="54" spans="1:18" x14ac:dyDescent="0.3">
      <c r="A54" t="s">
        <v>362</v>
      </c>
      <c r="B54" t="s">
        <v>423</v>
      </c>
      <c r="C54">
        <v>-0.31015492830383901</v>
      </c>
      <c r="D54" t="s">
        <v>424</v>
      </c>
      <c r="J54" t="s">
        <v>368</v>
      </c>
      <c r="K54" t="s">
        <v>416</v>
      </c>
      <c r="L54">
        <v>-37.043653434548197</v>
      </c>
      <c r="M54">
        <v>17327434.176993199</v>
      </c>
      <c r="N54">
        <v>-2.1378614430827601E-6</v>
      </c>
      <c r="O54">
        <v>0.99999829423336095</v>
      </c>
      <c r="P54">
        <v>2.2204460492503101E-16</v>
      </c>
      <c r="Q54">
        <v>3.8474632761949398E-9</v>
      </c>
      <c r="R54" t="s">
        <v>424</v>
      </c>
    </row>
    <row r="55" spans="1:18" x14ac:dyDescent="0.3">
      <c r="A55" t="s">
        <v>366</v>
      </c>
      <c r="B55" t="s">
        <v>417</v>
      </c>
      <c r="C55">
        <v>-0.31015492830384001</v>
      </c>
      <c r="D55" t="s">
        <v>424</v>
      </c>
      <c r="J55" t="s">
        <v>370</v>
      </c>
      <c r="K55" t="s">
        <v>416</v>
      </c>
      <c r="L55">
        <v>-37.043653264484803</v>
      </c>
      <c r="M55">
        <v>17327434.176993199</v>
      </c>
      <c r="N55">
        <v>-2.1378614332680699E-6</v>
      </c>
      <c r="O55">
        <v>0.99999829423336895</v>
      </c>
      <c r="P55">
        <v>2.2204460492503101E-16</v>
      </c>
      <c r="Q55">
        <v>3.8474632761949398E-9</v>
      </c>
      <c r="R55" t="s">
        <v>424</v>
      </c>
    </row>
    <row r="56" spans="1:18" x14ac:dyDescent="0.3">
      <c r="A56" t="s">
        <v>362</v>
      </c>
      <c r="B56" t="s">
        <v>422</v>
      </c>
      <c r="C56">
        <v>-0.48342664957787601</v>
      </c>
      <c r="D56" t="s">
        <v>424</v>
      </c>
      <c r="J56" t="s">
        <v>358</v>
      </c>
      <c r="K56" t="s">
        <v>417</v>
      </c>
      <c r="L56">
        <v>-1.2039728043259199</v>
      </c>
      <c r="M56">
        <v>0.57738186072836895</v>
      </c>
      <c r="N56">
        <v>-2.08522796820654</v>
      </c>
      <c r="O56">
        <v>3.7048612309055803E-2</v>
      </c>
      <c r="P56">
        <v>0.30000000000000299</v>
      </c>
      <c r="Q56">
        <v>0.173214558218513</v>
      </c>
      <c r="R56" t="s">
        <v>424</v>
      </c>
    </row>
    <row r="57" spans="1:18" x14ac:dyDescent="0.3">
      <c r="A57" t="s">
        <v>364</v>
      </c>
      <c r="B57" t="s">
        <v>417</v>
      </c>
      <c r="C57">
        <v>-0.51082562376599105</v>
      </c>
      <c r="D57" t="s">
        <v>424</v>
      </c>
      <c r="J57" t="s">
        <v>360</v>
      </c>
      <c r="K57" t="s">
        <v>417</v>
      </c>
      <c r="L57">
        <v>-2.3025850929940499</v>
      </c>
      <c r="M57">
        <v>1.00001823971606</v>
      </c>
      <c r="N57">
        <v>-2.30254309526177</v>
      </c>
      <c r="O57">
        <v>2.1304564027639899E-2</v>
      </c>
      <c r="P57">
        <v>9.9999999999999103E-2</v>
      </c>
      <c r="Q57">
        <v>0.10000182397160599</v>
      </c>
      <c r="R57" t="s">
        <v>424</v>
      </c>
    </row>
    <row r="58" spans="1:18" x14ac:dyDescent="0.3">
      <c r="A58" t="s">
        <v>360</v>
      </c>
      <c r="B58" t="s">
        <v>420</v>
      </c>
      <c r="C58">
        <v>-0.51082562376599305</v>
      </c>
      <c r="D58" t="s">
        <v>424</v>
      </c>
      <c r="J58" t="s">
        <v>362</v>
      </c>
      <c r="K58" t="s">
        <v>417</v>
      </c>
      <c r="L58">
        <v>-0.83624802420061795</v>
      </c>
      <c r="M58">
        <v>0.39226327089006002</v>
      </c>
      <c r="N58">
        <v>-2.1318540028056701</v>
      </c>
      <c r="O58">
        <v>3.3018850555040398E-2</v>
      </c>
      <c r="P58">
        <v>0.43333333333333401</v>
      </c>
      <c r="Q58">
        <v>0.16998075071902599</v>
      </c>
      <c r="R58" t="s">
        <v>424</v>
      </c>
    </row>
    <row r="59" spans="1:18" x14ac:dyDescent="0.3">
      <c r="A59" t="s">
        <v>364</v>
      </c>
      <c r="B59" t="s">
        <v>415</v>
      </c>
      <c r="C59">
        <v>-0.53899650073268801</v>
      </c>
      <c r="D59" t="s">
        <v>424</v>
      </c>
      <c r="J59" t="s">
        <v>364</v>
      </c>
      <c r="K59" t="s">
        <v>417</v>
      </c>
      <c r="L59">
        <v>-0.51082562376599105</v>
      </c>
      <c r="M59">
        <v>0.33336981110221497</v>
      </c>
      <c r="N59">
        <v>-1.5323091856369899</v>
      </c>
      <c r="O59">
        <v>0.12544615545054799</v>
      </c>
      <c r="P59">
        <v>0.6</v>
      </c>
      <c r="Q59">
        <v>0.200021886661329</v>
      </c>
      <c r="R59" t="s">
        <v>424</v>
      </c>
    </row>
    <row r="60" spans="1:18" x14ac:dyDescent="0.3">
      <c r="A60" t="s">
        <v>362</v>
      </c>
      <c r="B60" t="s">
        <v>420</v>
      </c>
      <c r="C60">
        <v>-0.59783700075562296</v>
      </c>
      <c r="D60" t="s">
        <v>424</v>
      </c>
      <c r="J60" t="s">
        <v>366</v>
      </c>
      <c r="K60" t="s">
        <v>417</v>
      </c>
      <c r="L60">
        <v>-0.31015492830384001</v>
      </c>
      <c r="M60">
        <v>0.30155167177833297</v>
      </c>
      <c r="N60">
        <v>-1.0285299579828899</v>
      </c>
      <c r="O60">
        <v>0.30370060622011202</v>
      </c>
      <c r="P60">
        <v>0.73333333333333295</v>
      </c>
      <c r="Q60">
        <v>0.22113789263744399</v>
      </c>
      <c r="R60" t="s">
        <v>424</v>
      </c>
    </row>
    <row r="61" spans="1:18" x14ac:dyDescent="0.3">
      <c r="A61" t="s">
        <v>360</v>
      </c>
      <c r="B61" t="s">
        <v>414</v>
      </c>
      <c r="C61">
        <v>-0.59783700075562296</v>
      </c>
      <c r="D61" t="s">
        <v>424</v>
      </c>
      <c r="J61" t="s">
        <v>368</v>
      </c>
      <c r="K61" t="s">
        <v>417</v>
      </c>
      <c r="L61">
        <v>-3.4011973816621599</v>
      </c>
      <c r="M61">
        <v>1.4142221607099701</v>
      </c>
      <c r="N61">
        <v>-2.4049951104957099</v>
      </c>
      <c r="O61">
        <v>1.6172682166824399E-2</v>
      </c>
      <c r="P61">
        <v>3.3333333333333097E-2</v>
      </c>
      <c r="Q61">
        <v>4.7140738690332001E-2</v>
      </c>
      <c r="R61" t="s">
        <v>424</v>
      </c>
    </row>
    <row r="62" spans="1:18" x14ac:dyDescent="0.3">
      <c r="A62" t="s">
        <v>360</v>
      </c>
      <c r="B62" t="s">
        <v>412</v>
      </c>
      <c r="C62">
        <v>-0.64435701639051701</v>
      </c>
      <c r="D62" t="s">
        <v>424</v>
      </c>
      <c r="J62" t="s">
        <v>370</v>
      </c>
      <c r="K62" t="s">
        <v>417</v>
      </c>
      <c r="L62">
        <v>-2.7080502011022198</v>
      </c>
      <c r="M62">
        <v>1.0000121598476699</v>
      </c>
      <c r="N62">
        <v>-2.7080172720246898</v>
      </c>
      <c r="O62">
        <v>6.7686499713580399E-3</v>
      </c>
      <c r="P62">
        <v>6.6666666666666194E-2</v>
      </c>
      <c r="Q62">
        <v>6.6667477323177904E-2</v>
      </c>
      <c r="R62" t="s">
        <v>424</v>
      </c>
    </row>
    <row r="63" spans="1:18" x14ac:dyDescent="0.3">
      <c r="A63" t="s">
        <v>358</v>
      </c>
      <c r="B63" t="s">
        <v>418</v>
      </c>
      <c r="C63">
        <v>-0.64435701639051901</v>
      </c>
      <c r="D63" t="s">
        <v>424</v>
      </c>
      <c r="J63" t="s">
        <v>358</v>
      </c>
      <c r="K63" t="s">
        <v>418</v>
      </c>
      <c r="L63">
        <v>-0.64435701639051901</v>
      </c>
      <c r="M63">
        <v>0.436477571292061</v>
      </c>
      <c r="N63">
        <v>-1.4762660415358599</v>
      </c>
      <c r="O63">
        <v>0.139872486599176</v>
      </c>
      <c r="P63">
        <v>0.52499999999999702</v>
      </c>
      <c r="Q63">
        <v>0.229150724928331</v>
      </c>
      <c r="R63" t="s">
        <v>424</v>
      </c>
    </row>
    <row r="64" spans="1:18" x14ac:dyDescent="0.3">
      <c r="A64" t="s">
        <v>364</v>
      </c>
      <c r="B64" t="s">
        <v>422</v>
      </c>
      <c r="C64">
        <v>-0.66035735773695203</v>
      </c>
      <c r="D64" t="s">
        <v>424</v>
      </c>
      <c r="J64" t="s">
        <v>360</v>
      </c>
      <c r="K64" t="s">
        <v>418</v>
      </c>
      <c r="L64">
        <v>-2.99573227355397</v>
      </c>
      <c r="M64">
        <v>1.4142264598588301</v>
      </c>
      <c r="N64">
        <v>-2.11828328671846</v>
      </c>
      <c r="O64">
        <v>3.4151083223552897E-2</v>
      </c>
      <c r="P64">
        <v>5.0000000000000898E-2</v>
      </c>
      <c r="Q64">
        <v>7.0711322992942596E-2</v>
      </c>
      <c r="R64" t="s">
        <v>424</v>
      </c>
    </row>
    <row r="65" spans="1:18" x14ac:dyDescent="0.3">
      <c r="A65" t="s">
        <v>364</v>
      </c>
      <c r="B65" t="s">
        <v>423</v>
      </c>
      <c r="C65">
        <v>-0.69314718055994196</v>
      </c>
      <c r="D65" t="s">
        <v>424</v>
      </c>
      <c r="J65" t="s">
        <v>362</v>
      </c>
      <c r="K65" t="s">
        <v>418</v>
      </c>
      <c r="L65">
        <v>-2.0149030205422598</v>
      </c>
      <c r="M65">
        <v>0.707123977703495</v>
      </c>
      <c r="N65">
        <v>-2.8494338815747802</v>
      </c>
      <c r="O65">
        <v>4.3797107900619197E-3</v>
      </c>
      <c r="P65">
        <v>0.133333333333333</v>
      </c>
      <c r="Q65">
        <v>9.4283197027132698E-2</v>
      </c>
      <c r="R65" t="s">
        <v>424</v>
      </c>
    </row>
    <row r="66" spans="1:18" x14ac:dyDescent="0.3">
      <c r="A66" t="s">
        <v>364</v>
      </c>
      <c r="B66" t="s">
        <v>419</v>
      </c>
      <c r="C66">
        <v>-0.69314718055994196</v>
      </c>
      <c r="D66" t="s">
        <v>424</v>
      </c>
      <c r="J66" t="s">
        <v>364</v>
      </c>
      <c r="K66" t="s">
        <v>418</v>
      </c>
      <c r="L66">
        <v>3.27898228229975E-2</v>
      </c>
      <c r="M66">
        <v>0.25404812314889103</v>
      </c>
      <c r="N66">
        <v>0.129069337008171</v>
      </c>
      <c r="O66">
        <v>0.89730278455081303</v>
      </c>
      <c r="P66">
        <v>1.0333333333333401</v>
      </c>
      <c r="Q66">
        <v>0.26251639392052201</v>
      </c>
      <c r="R66" t="s">
        <v>424</v>
      </c>
    </row>
    <row r="67" spans="1:18" x14ac:dyDescent="0.3">
      <c r="A67" t="s">
        <v>360</v>
      </c>
      <c r="B67" t="s">
        <v>413</v>
      </c>
      <c r="C67">
        <v>-0.69314718055994295</v>
      </c>
      <c r="D67" t="s">
        <v>424</v>
      </c>
      <c r="J67" t="s">
        <v>366</v>
      </c>
      <c r="K67" t="s">
        <v>418</v>
      </c>
      <c r="L67">
        <v>-0.83624802420061695</v>
      </c>
      <c r="M67">
        <v>0.39226327089006002</v>
      </c>
      <c r="N67">
        <v>-2.1318540028056701</v>
      </c>
      <c r="O67">
        <v>3.3018850555040599E-2</v>
      </c>
      <c r="P67">
        <v>0.43333333333333401</v>
      </c>
      <c r="Q67">
        <v>0.16998075071902599</v>
      </c>
      <c r="R67" t="s">
        <v>424</v>
      </c>
    </row>
    <row r="68" spans="1:18" x14ac:dyDescent="0.3">
      <c r="A68" t="s">
        <v>366</v>
      </c>
      <c r="B68" t="s">
        <v>412</v>
      </c>
      <c r="C68">
        <v>-0.72704873223562405</v>
      </c>
      <c r="D68" t="s">
        <v>424</v>
      </c>
      <c r="J68" t="s">
        <v>368</v>
      </c>
      <c r="K68" t="s">
        <v>418</v>
      </c>
      <c r="L68">
        <v>-3.4011973816621501</v>
      </c>
      <c r="M68">
        <v>1.4142221607099801</v>
      </c>
      <c r="N68">
        <v>-2.4049951104956802</v>
      </c>
      <c r="O68">
        <v>1.61726821668257E-2</v>
      </c>
      <c r="P68">
        <v>3.3333333333333597E-2</v>
      </c>
      <c r="Q68">
        <v>4.7140738690333098E-2</v>
      </c>
      <c r="R68" t="s">
        <v>424</v>
      </c>
    </row>
    <row r="69" spans="1:18" x14ac:dyDescent="0.3">
      <c r="A69" t="s">
        <v>360</v>
      </c>
      <c r="B69" t="s">
        <v>419</v>
      </c>
      <c r="C69">
        <v>-0.74444047494750198</v>
      </c>
      <c r="D69" t="s">
        <v>424</v>
      </c>
      <c r="J69" t="s">
        <v>370</v>
      </c>
      <c r="K69" t="s">
        <v>418</v>
      </c>
      <c r="L69">
        <v>-37.043653378790701</v>
      </c>
      <c r="M69">
        <v>17327434.176993199</v>
      </c>
      <c r="N69">
        <v>-2.1378614398648798E-6</v>
      </c>
      <c r="O69">
        <v>0.99999829423336395</v>
      </c>
      <c r="P69">
        <v>2.2204460492503101E-16</v>
      </c>
      <c r="Q69">
        <v>3.8474632761949398E-9</v>
      </c>
      <c r="R69" t="s">
        <v>424</v>
      </c>
    </row>
    <row r="70" spans="1:18" x14ac:dyDescent="0.3">
      <c r="A70" t="s">
        <v>364</v>
      </c>
      <c r="B70" t="s">
        <v>420</v>
      </c>
      <c r="C70">
        <v>-0.79850769621777395</v>
      </c>
      <c r="D70" t="s">
        <v>424</v>
      </c>
      <c r="J70" t="s">
        <v>358</v>
      </c>
      <c r="K70" t="s">
        <v>419</v>
      </c>
      <c r="L70">
        <v>-1.6094379124341001</v>
      </c>
      <c r="M70">
        <v>0.70713257580514799</v>
      </c>
      <c r="N70">
        <v>-2.27600589691626</v>
      </c>
      <c r="O70">
        <v>2.2845656674104299E-2</v>
      </c>
      <c r="P70">
        <v>0.19999999999999901</v>
      </c>
      <c r="Q70">
        <v>0.141426515161029</v>
      </c>
      <c r="R70" t="s">
        <v>424</v>
      </c>
    </row>
    <row r="71" spans="1:18" x14ac:dyDescent="0.3">
      <c r="A71" t="s">
        <v>360</v>
      </c>
      <c r="B71" t="s">
        <v>416</v>
      </c>
      <c r="C71">
        <v>-0.79850769621777695</v>
      </c>
      <c r="D71" t="s">
        <v>424</v>
      </c>
      <c r="J71" t="s">
        <v>360</v>
      </c>
      <c r="K71" t="s">
        <v>419</v>
      </c>
      <c r="L71">
        <v>-0.74444047494750198</v>
      </c>
      <c r="M71">
        <v>0.45887121892127702</v>
      </c>
      <c r="N71">
        <v>-1.6223298482252699</v>
      </c>
      <c r="O71">
        <v>0.104732740959693</v>
      </c>
      <c r="P71">
        <v>0.47499999999999698</v>
      </c>
      <c r="Q71">
        <v>0.217963828987605</v>
      </c>
      <c r="R71" t="s">
        <v>424</v>
      </c>
    </row>
    <row r="72" spans="1:18" x14ac:dyDescent="0.3">
      <c r="A72" t="s">
        <v>366</v>
      </c>
      <c r="B72" t="s">
        <v>418</v>
      </c>
      <c r="C72">
        <v>-0.83624802420061695</v>
      </c>
      <c r="D72" t="s">
        <v>424</v>
      </c>
      <c r="J72" t="s">
        <v>362</v>
      </c>
      <c r="K72" t="s">
        <v>419</v>
      </c>
      <c r="L72">
        <v>-3.4011973816621599</v>
      </c>
      <c r="M72">
        <v>1.4142221607099801</v>
      </c>
      <c r="N72">
        <v>-2.4049951104956899</v>
      </c>
      <c r="O72">
        <v>1.61726821668252E-2</v>
      </c>
      <c r="P72">
        <v>3.3333333333333298E-2</v>
      </c>
      <c r="Q72">
        <v>4.7140738690332598E-2</v>
      </c>
      <c r="R72" t="s">
        <v>424</v>
      </c>
    </row>
    <row r="73" spans="1:18" x14ac:dyDescent="0.3">
      <c r="A73" t="s">
        <v>364</v>
      </c>
      <c r="B73" t="s">
        <v>412</v>
      </c>
      <c r="C73">
        <v>-0.83624802420061795</v>
      </c>
      <c r="D73" t="s">
        <v>424</v>
      </c>
      <c r="J73" t="s">
        <v>364</v>
      </c>
      <c r="K73" t="s">
        <v>419</v>
      </c>
      <c r="L73">
        <v>-0.69314718055994196</v>
      </c>
      <c r="M73">
        <v>0.36518167146852798</v>
      </c>
      <c r="N73">
        <v>-1.89808863564413</v>
      </c>
      <c r="O73">
        <v>5.7684406948584802E-2</v>
      </c>
      <c r="P73">
        <v>0.500000000000002</v>
      </c>
      <c r="Q73">
        <v>0.18259083573426399</v>
      </c>
      <c r="R73" t="s">
        <v>424</v>
      </c>
    </row>
    <row r="74" spans="1:18" x14ac:dyDescent="0.3">
      <c r="A74" t="s">
        <v>362</v>
      </c>
      <c r="B74" t="s">
        <v>417</v>
      </c>
      <c r="C74">
        <v>-0.83624802420061795</v>
      </c>
      <c r="D74" t="s">
        <v>424</v>
      </c>
      <c r="J74" t="s">
        <v>366</v>
      </c>
      <c r="K74" t="s">
        <v>419</v>
      </c>
      <c r="L74">
        <v>-2.0149030205422598</v>
      </c>
      <c r="M74">
        <v>0.707123977703492</v>
      </c>
      <c r="N74">
        <v>-2.8494338815747802</v>
      </c>
      <c r="O74">
        <v>4.3797107900618599E-3</v>
      </c>
      <c r="P74">
        <v>0.133333333333334</v>
      </c>
      <c r="Q74">
        <v>9.4283197027132698E-2</v>
      </c>
      <c r="R74" t="s">
        <v>424</v>
      </c>
    </row>
    <row r="75" spans="1:18" x14ac:dyDescent="0.3">
      <c r="A75" t="s">
        <v>358</v>
      </c>
      <c r="B75" t="s">
        <v>415</v>
      </c>
      <c r="C75">
        <v>-0.85566611005773296</v>
      </c>
      <c r="D75" t="s">
        <v>424</v>
      </c>
      <c r="J75" t="s">
        <v>368</v>
      </c>
      <c r="K75" t="s">
        <v>419</v>
      </c>
      <c r="L75">
        <v>-37.043653382678102</v>
      </c>
      <c r="M75">
        <v>17327434.176993199</v>
      </c>
      <c r="N75">
        <v>-2.13786144008923E-6</v>
      </c>
      <c r="O75">
        <v>0.99999829423336395</v>
      </c>
      <c r="P75">
        <v>2.2204460492503101E-16</v>
      </c>
      <c r="Q75">
        <v>3.8474632761949398E-9</v>
      </c>
      <c r="R75" t="s">
        <v>424</v>
      </c>
    </row>
    <row r="76" spans="1:18" x14ac:dyDescent="0.3">
      <c r="A76" t="s">
        <v>358</v>
      </c>
      <c r="B76" t="s">
        <v>422</v>
      </c>
      <c r="C76">
        <v>-0.98082925301173496</v>
      </c>
      <c r="D76" t="s">
        <v>424</v>
      </c>
      <c r="J76" t="s">
        <v>370</v>
      </c>
      <c r="K76" t="s">
        <v>419</v>
      </c>
      <c r="L76">
        <v>-2.3025850929940499</v>
      </c>
      <c r="M76">
        <v>0.81651147359353504</v>
      </c>
      <c r="N76">
        <v>-2.82002784707994</v>
      </c>
      <c r="O76">
        <v>4.8019482124427703E-3</v>
      </c>
      <c r="P76">
        <v>9.9999999999999603E-2</v>
      </c>
      <c r="Q76">
        <v>8.1651147359353193E-2</v>
      </c>
      <c r="R76" t="s">
        <v>424</v>
      </c>
    </row>
    <row r="77" spans="1:18" x14ac:dyDescent="0.3">
      <c r="A77" t="s">
        <v>362</v>
      </c>
      <c r="B77" t="s">
        <v>413</v>
      </c>
      <c r="C77">
        <v>-1.0498221244986701</v>
      </c>
      <c r="D77" t="s">
        <v>424</v>
      </c>
      <c r="J77" t="s">
        <v>358</v>
      </c>
      <c r="K77" t="s">
        <v>420</v>
      </c>
      <c r="L77">
        <v>-1.2039728043259399</v>
      </c>
      <c r="M77">
        <v>0.57738186072837205</v>
      </c>
      <c r="N77">
        <v>-2.08522796820654</v>
      </c>
      <c r="O77">
        <v>3.7048612309055103E-2</v>
      </c>
      <c r="P77">
        <v>0.3</v>
      </c>
      <c r="Q77">
        <v>0.173214558218512</v>
      </c>
      <c r="R77" t="s">
        <v>424</v>
      </c>
    </row>
    <row r="78" spans="1:18" x14ac:dyDescent="0.3">
      <c r="A78" t="s">
        <v>366</v>
      </c>
      <c r="B78" t="s">
        <v>420</v>
      </c>
      <c r="C78">
        <v>-1.0498221244986801</v>
      </c>
      <c r="D78" t="s">
        <v>424</v>
      </c>
      <c r="J78" t="s">
        <v>360</v>
      </c>
      <c r="K78" t="s">
        <v>420</v>
      </c>
      <c r="L78">
        <v>-0.51082562376599305</v>
      </c>
      <c r="M78">
        <v>0.40829296642422203</v>
      </c>
      <c r="N78">
        <v>-1.2511252109967499</v>
      </c>
      <c r="O78">
        <v>0.21088879883098599</v>
      </c>
      <c r="P78">
        <v>0.59999999999999798</v>
      </c>
      <c r="Q78">
        <v>0.24497577985453201</v>
      </c>
      <c r="R78" t="s">
        <v>424</v>
      </c>
    </row>
    <row r="79" spans="1:18" x14ac:dyDescent="0.3">
      <c r="A79" t="s">
        <v>358</v>
      </c>
      <c r="B79" t="s">
        <v>414</v>
      </c>
      <c r="C79">
        <v>-1.1239300966524099</v>
      </c>
      <c r="D79" t="s">
        <v>424</v>
      </c>
      <c r="J79" t="s">
        <v>362</v>
      </c>
      <c r="K79" t="s">
        <v>420</v>
      </c>
      <c r="L79">
        <v>-0.59783700075562296</v>
      </c>
      <c r="M79">
        <v>0.34819023687538397</v>
      </c>
      <c r="N79">
        <v>-1.71698381356277</v>
      </c>
      <c r="O79">
        <v>8.5982129510996999E-2</v>
      </c>
      <c r="P79">
        <v>0.54999999999999905</v>
      </c>
      <c r="Q79">
        <v>0.191504630281461</v>
      </c>
      <c r="R79" t="s">
        <v>424</v>
      </c>
    </row>
    <row r="80" spans="1:18" x14ac:dyDescent="0.3">
      <c r="A80" t="s">
        <v>358</v>
      </c>
      <c r="B80" t="s">
        <v>417</v>
      </c>
      <c r="C80">
        <v>-1.2039728043259199</v>
      </c>
      <c r="D80" t="s">
        <v>424</v>
      </c>
      <c r="J80" t="s">
        <v>364</v>
      </c>
      <c r="K80" t="s">
        <v>420</v>
      </c>
      <c r="L80">
        <v>-0.79850769621777395</v>
      </c>
      <c r="M80">
        <v>0.38493177056637201</v>
      </c>
      <c r="N80">
        <v>-2.0744135903432501</v>
      </c>
      <c r="O80">
        <v>3.80409162251183E-2</v>
      </c>
      <c r="P80">
        <v>0.44999999999999901</v>
      </c>
      <c r="Q80">
        <v>0.173219296754867</v>
      </c>
      <c r="R80" t="s">
        <v>424</v>
      </c>
    </row>
    <row r="81" spans="1:18" x14ac:dyDescent="0.3">
      <c r="A81" t="s">
        <v>358</v>
      </c>
      <c r="B81" t="s">
        <v>420</v>
      </c>
      <c r="C81">
        <v>-1.2039728043259399</v>
      </c>
      <c r="D81" t="s">
        <v>424</v>
      </c>
      <c r="J81" t="s">
        <v>366</v>
      </c>
      <c r="K81" t="s">
        <v>420</v>
      </c>
      <c r="L81">
        <v>-1.0498221244986801</v>
      </c>
      <c r="M81">
        <v>0.43646364146330202</v>
      </c>
      <c r="N81">
        <v>-2.4052911279826401</v>
      </c>
      <c r="O81">
        <v>1.61595866429496E-2</v>
      </c>
      <c r="P81">
        <v>0.35</v>
      </c>
      <c r="Q81">
        <v>0.15276227451215599</v>
      </c>
      <c r="R81" t="s">
        <v>424</v>
      </c>
    </row>
    <row r="82" spans="1:18" x14ac:dyDescent="0.3">
      <c r="A82" t="s">
        <v>362</v>
      </c>
      <c r="B82" t="s">
        <v>412</v>
      </c>
      <c r="C82">
        <v>-1.2039728043259399</v>
      </c>
      <c r="D82" t="s">
        <v>424</v>
      </c>
      <c r="J82" t="s">
        <v>368</v>
      </c>
      <c r="K82" t="s">
        <v>420</v>
      </c>
      <c r="L82">
        <v>-2.4849066497879999</v>
      </c>
      <c r="M82">
        <v>0.89444078610225197</v>
      </c>
      <c r="N82">
        <v>-2.7781678657752198</v>
      </c>
      <c r="O82">
        <v>5.46663685202896E-3</v>
      </c>
      <c r="P82">
        <v>8.3333333333333107E-2</v>
      </c>
      <c r="Q82">
        <v>7.4536732175187498E-2</v>
      </c>
      <c r="R82" t="s">
        <v>424</v>
      </c>
    </row>
    <row r="83" spans="1:18" x14ac:dyDescent="0.3">
      <c r="A83" t="s">
        <v>358</v>
      </c>
      <c r="B83" t="s">
        <v>423</v>
      </c>
      <c r="C83">
        <v>-1.29098418131558</v>
      </c>
      <c r="D83" t="s">
        <v>424</v>
      </c>
      <c r="J83" t="s">
        <v>370</v>
      </c>
      <c r="K83" t="s">
        <v>420</v>
      </c>
      <c r="L83">
        <v>-2.3025850929940499</v>
      </c>
      <c r="M83">
        <v>0.81651147359353504</v>
      </c>
      <c r="N83">
        <v>-2.82002784707994</v>
      </c>
      <c r="O83">
        <v>4.8019482124428397E-3</v>
      </c>
      <c r="P83">
        <v>0.1</v>
      </c>
      <c r="Q83">
        <v>8.1651147359353499E-2</v>
      </c>
      <c r="R83" t="s">
        <v>424</v>
      </c>
    </row>
    <row r="84" spans="1:18" x14ac:dyDescent="0.3">
      <c r="A84" t="s">
        <v>366</v>
      </c>
      <c r="B84" t="s">
        <v>415</v>
      </c>
      <c r="C84">
        <v>-1.3217558399823199</v>
      </c>
      <c r="D84" t="s">
        <v>424</v>
      </c>
      <c r="J84" t="s">
        <v>358</v>
      </c>
      <c r="K84" t="s">
        <v>421</v>
      </c>
      <c r="L84">
        <v>-1.89711998488589</v>
      </c>
      <c r="M84">
        <v>0.81651891982457603</v>
      </c>
      <c r="N84">
        <v>-2.3234244042911798</v>
      </c>
      <c r="O84">
        <v>2.01563643555236E-2</v>
      </c>
      <c r="P84">
        <v>0.149999999999999</v>
      </c>
      <c r="Q84">
        <v>0.122477837973685</v>
      </c>
      <c r="R84" t="s">
        <v>424</v>
      </c>
    </row>
    <row r="85" spans="1:18" x14ac:dyDescent="0.3">
      <c r="A85" t="s">
        <v>362</v>
      </c>
      <c r="B85" t="s">
        <v>415</v>
      </c>
      <c r="C85">
        <v>-1.3217558399823199</v>
      </c>
      <c r="D85" t="s">
        <v>424</v>
      </c>
      <c r="J85" t="s">
        <v>360</v>
      </c>
      <c r="K85" t="s">
        <v>421</v>
      </c>
      <c r="L85">
        <v>-1.6094379124341001</v>
      </c>
      <c r="M85">
        <v>0.70713257580514799</v>
      </c>
      <c r="N85">
        <v>-2.27600589691626</v>
      </c>
      <c r="O85">
        <v>2.28456566741045E-2</v>
      </c>
      <c r="P85">
        <v>0.2</v>
      </c>
      <c r="Q85">
        <v>0.14142651516103</v>
      </c>
      <c r="R85" t="s">
        <v>424</v>
      </c>
    </row>
    <row r="86" spans="1:18" x14ac:dyDescent="0.3">
      <c r="A86" t="s">
        <v>358</v>
      </c>
      <c r="B86" t="s">
        <v>412</v>
      </c>
      <c r="C86">
        <v>-1.3862943611198799</v>
      </c>
      <c r="D86" t="s">
        <v>424</v>
      </c>
      <c r="J86" t="s">
        <v>362</v>
      </c>
      <c r="K86" t="s">
        <v>421</v>
      </c>
      <c r="L86">
        <v>-1.69644928942373</v>
      </c>
      <c r="M86">
        <v>0.60304285376710698</v>
      </c>
      <c r="N86">
        <v>-2.8131488149246699</v>
      </c>
      <c r="O86">
        <v>4.9058941206302602E-3</v>
      </c>
      <c r="P86">
        <v>0.18333333333333399</v>
      </c>
      <c r="Q86">
        <v>0.11055785652397</v>
      </c>
      <c r="R86" t="s">
        <v>424</v>
      </c>
    </row>
    <row r="87" spans="1:18" x14ac:dyDescent="0.3">
      <c r="A87" t="s">
        <v>366</v>
      </c>
      <c r="B87" t="s">
        <v>423</v>
      </c>
      <c r="C87">
        <v>-1.45528723260684</v>
      </c>
      <c r="D87" t="s">
        <v>424</v>
      </c>
      <c r="J87" t="s">
        <v>364</v>
      </c>
      <c r="K87" t="s">
        <v>421</v>
      </c>
      <c r="L87">
        <v>0.209720530982067</v>
      </c>
      <c r="M87">
        <v>0.232547573406539</v>
      </c>
      <c r="N87">
        <v>0.90183925770506401</v>
      </c>
      <c r="O87">
        <v>0.36714226222407798</v>
      </c>
      <c r="P87">
        <v>1.2333333333333301</v>
      </c>
      <c r="Q87">
        <v>0.28680867386806502</v>
      </c>
      <c r="R87" t="s">
        <v>424</v>
      </c>
    </row>
    <row r="88" spans="1:18" x14ac:dyDescent="0.3">
      <c r="A88" t="s">
        <v>370</v>
      </c>
      <c r="B88" t="s">
        <v>413</v>
      </c>
      <c r="C88">
        <v>-1.5293952047605599</v>
      </c>
      <c r="D88" t="s">
        <v>424</v>
      </c>
      <c r="J88" t="s">
        <v>366</v>
      </c>
      <c r="K88" t="s">
        <v>421</v>
      </c>
      <c r="L88">
        <v>-1.6094379124341001</v>
      </c>
      <c r="M88">
        <v>0.57737133040751898</v>
      </c>
      <c r="N88">
        <v>-2.7875265495052099</v>
      </c>
      <c r="O88">
        <v>5.3112102043416098E-3</v>
      </c>
      <c r="P88">
        <v>0.19999999999999901</v>
      </c>
      <c r="Q88">
        <v>0.115474266081503</v>
      </c>
      <c r="R88" t="s">
        <v>424</v>
      </c>
    </row>
    <row r="89" spans="1:18" x14ac:dyDescent="0.3">
      <c r="A89" t="s">
        <v>366</v>
      </c>
      <c r="B89" t="s">
        <v>414</v>
      </c>
      <c r="C89">
        <v>-1.5293952047605599</v>
      </c>
      <c r="D89" t="s">
        <v>424</v>
      </c>
      <c r="J89" t="s">
        <v>368</v>
      </c>
      <c r="K89" t="s">
        <v>421</v>
      </c>
      <c r="L89">
        <v>-2.7080502011022198</v>
      </c>
      <c r="M89">
        <v>1.0000121598476699</v>
      </c>
      <c r="N89">
        <v>-2.7080172720247</v>
      </c>
      <c r="O89">
        <v>6.7686499713577701E-3</v>
      </c>
      <c r="P89">
        <v>6.6666666666665902E-2</v>
      </c>
      <c r="Q89">
        <v>6.6667477323177293E-2</v>
      </c>
      <c r="R89" t="s">
        <v>424</v>
      </c>
    </row>
    <row r="90" spans="1:18" x14ac:dyDescent="0.3">
      <c r="A90" t="s">
        <v>362</v>
      </c>
      <c r="B90" t="s">
        <v>414</v>
      </c>
      <c r="C90">
        <v>-1.6094379124341001</v>
      </c>
      <c r="D90" t="s">
        <v>424</v>
      </c>
      <c r="J90" t="s">
        <v>370</v>
      </c>
      <c r="K90" t="s">
        <v>421</v>
      </c>
      <c r="L90">
        <v>-37.043653392023103</v>
      </c>
      <c r="M90">
        <v>17327434.176993199</v>
      </c>
      <c r="N90">
        <v>-2.1378614406285499E-6</v>
      </c>
      <c r="O90">
        <v>0.99999829423336295</v>
      </c>
      <c r="P90">
        <v>2.2204460492503101E-16</v>
      </c>
      <c r="Q90">
        <v>3.8474632761949398E-9</v>
      </c>
      <c r="R90" t="s">
        <v>424</v>
      </c>
    </row>
    <row r="91" spans="1:18" x14ac:dyDescent="0.3">
      <c r="A91" t="s">
        <v>360</v>
      </c>
      <c r="B91" t="s">
        <v>421</v>
      </c>
      <c r="C91">
        <v>-1.6094379124341001</v>
      </c>
      <c r="D91" t="s">
        <v>424</v>
      </c>
      <c r="J91" t="s">
        <v>358</v>
      </c>
      <c r="K91" t="s">
        <v>422</v>
      </c>
      <c r="L91">
        <v>-0.98082925301173496</v>
      </c>
      <c r="M91">
        <v>0.51643309966683204</v>
      </c>
      <c r="N91">
        <v>-1.8992377786096599</v>
      </c>
      <c r="O91">
        <v>5.7533219643402099E-2</v>
      </c>
      <c r="P91">
        <v>0.374999999999997</v>
      </c>
      <c r="Q91">
        <v>0.19366241237505999</v>
      </c>
      <c r="R91" t="s">
        <v>424</v>
      </c>
    </row>
    <row r="92" spans="1:18" x14ac:dyDescent="0.3">
      <c r="A92" t="s">
        <v>360</v>
      </c>
      <c r="B92" t="s">
        <v>422</v>
      </c>
      <c r="C92">
        <v>-1.6094379124341001</v>
      </c>
      <c r="D92" t="s">
        <v>424</v>
      </c>
      <c r="J92" t="s">
        <v>360</v>
      </c>
      <c r="K92" t="s">
        <v>422</v>
      </c>
      <c r="L92">
        <v>-1.6094379124341001</v>
      </c>
      <c r="M92">
        <v>0.70713257580514899</v>
      </c>
      <c r="N92">
        <v>-2.27600589691626</v>
      </c>
      <c r="O92">
        <v>2.2845656674104702E-2</v>
      </c>
      <c r="P92">
        <v>0.2</v>
      </c>
      <c r="Q92">
        <v>0.14142651516103</v>
      </c>
      <c r="R92" t="s">
        <v>424</v>
      </c>
    </row>
    <row r="93" spans="1:18" x14ac:dyDescent="0.3">
      <c r="A93" t="s">
        <v>358</v>
      </c>
      <c r="B93" t="s">
        <v>419</v>
      </c>
      <c r="C93">
        <v>-1.6094379124341001</v>
      </c>
      <c r="D93" t="s">
        <v>424</v>
      </c>
      <c r="J93" t="s">
        <v>362</v>
      </c>
      <c r="K93" t="s">
        <v>422</v>
      </c>
      <c r="L93">
        <v>-0.48342664957787601</v>
      </c>
      <c r="M93">
        <v>0.32883495548880498</v>
      </c>
      <c r="N93">
        <v>-1.4701194064337699</v>
      </c>
      <c r="O93">
        <v>0.14152941724592399</v>
      </c>
      <c r="P93">
        <v>0.61666666666666703</v>
      </c>
      <c r="Q93">
        <v>0.20278155588476299</v>
      </c>
      <c r="R93" t="s">
        <v>424</v>
      </c>
    </row>
    <row r="94" spans="1:18" x14ac:dyDescent="0.3">
      <c r="A94" t="s">
        <v>366</v>
      </c>
      <c r="B94" t="s">
        <v>421</v>
      </c>
      <c r="C94">
        <v>-1.6094379124341001</v>
      </c>
      <c r="D94" t="s">
        <v>424</v>
      </c>
      <c r="J94" t="s">
        <v>364</v>
      </c>
      <c r="K94" t="s">
        <v>422</v>
      </c>
      <c r="L94">
        <v>-0.66035735773695203</v>
      </c>
      <c r="M94">
        <v>0.35924445424770501</v>
      </c>
      <c r="N94">
        <v>-1.83818386040171</v>
      </c>
      <c r="O94">
        <v>6.6035317211338193E-2</v>
      </c>
      <c r="P94">
        <v>0.51666666666666805</v>
      </c>
      <c r="Q94">
        <v>0.185609634694648</v>
      </c>
      <c r="R94" t="s">
        <v>424</v>
      </c>
    </row>
    <row r="95" spans="1:18" x14ac:dyDescent="0.3">
      <c r="A95" t="s">
        <v>360</v>
      </c>
      <c r="B95" t="s">
        <v>415</v>
      </c>
      <c r="C95">
        <v>-1.6094379124341101</v>
      </c>
      <c r="D95" t="s">
        <v>424</v>
      </c>
      <c r="J95" t="s">
        <v>366</v>
      </c>
      <c r="K95" t="s">
        <v>422</v>
      </c>
      <c r="L95">
        <v>-2.1484344131667799</v>
      </c>
      <c r="M95">
        <v>0.75594503191157003</v>
      </c>
      <c r="N95">
        <v>-2.8420511048720001</v>
      </c>
      <c r="O95">
        <v>4.4824305695022196E-3</v>
      </c>
      <c r="P95">
        <v>0.116666666666668</v>
      </c>
      <c r="Q95">
        <v>8.8193587056350803E-2</v>
      </c>
      <c r="R95" t="s">
        <v>424</v>
      </c>
    </row>
    <row r="96" spans="1:18" x14ac:dyDescent="0.3">
      <c r="A96" t="s">
        <v>362</v>
      </c>
      <c r="B96" t="s">
        <v>421</v>
      </c>
      <c r="C96">
        <v>-1.69644928942373</v>
      </c>
      <c r="D96" t="s">
        <v>424</v>
      </c>
      <c r="J96" t="s">
        <v>368</v>
      </c>
      <c r="K96" t="s">
        <v>422</v>
      </c>
      <c r="L96">
        <v>-2.9957322735540002</v>
      </c>
      <c r="M96">
        <v>1.15471106913225</v>
      </c>
      <c r="N96">
        <v>-2.59435659156299</v>
      </c>
      <c r="O96">
        <v>9.4768139694193405E-3</v>
      </c>
      <c r="P96">
        <v>4.9999999999999802E-2</v>
      </c>
      <c r="Q96">
        <v>5.7735553456612097E-2</v>
      </c>
      <c r="R96" t="s">
        <v>424</v>
      </c>
    </row>
    <row r="97" spans="1:18" x14ac:dyDescent="0.3">
      <c r="A97" t="s">
        <v>358</v>
      </c>
      <c r="B97" t="s">
        <v>413</v>
      </c>
      <c r="C97">
        <v>-1.7429693050586399</v>
      </c>
      <c r="D97" t="s">
        <v>424</v>
      </c>
      <c r="J97" t="s">
        <v>370</v>
      </c>
      <c r="K97" t="s">
        <v>422</v>
      </c>
      <c r="L97">
        <v>-2.4849066497879999</v>
      </c>
      <c r="M97">
        <v>0.89444078610225297</v>
      </c>
      <c r="N97">
        <v>-2.7781678657752198</v>
      </c>
      <c r="O97">
        <v>5.4666368520290198E-3</v>
      </c>
      <c r="P97">
        <v>8.3333333333333107E-2</v>
      </c>
      <c r="Q97">
        <v>7.4536732175187498E-2</v>
      </c>
      <c r="R97" t="s">
        <v>424</v>
      </c>
    </row>
    <row r="98" spans="1:18" x14ac:dyDescent="0.3">
      <c r="A98" t="s">
        <v>362</v>
      </c>
      <c r="B98" t="s">
        <v>416</v>
      </c>
      <c r="C98">
        <v>-1.89711998488588</v>
      </c>
      <c r="D98" t="s">
        <v>424</v>
      </c>
      <c r="J98" t="s">
        <v>358</v>
      </c>
      <c r="K98" t="s">
        <v>423</v>
      </c>
      <c r="L98">
        <v>-1.29098418131558</v>
      </c>
      <c r="M98">
        <v>0.60305293582005304</v>
      </c>
      <c r="N98">
        <v>-2.1407476933348302</v>
      </c>
      <c r="O98">
        <v>3.2294390148552198E-2</v>
      </c>
      <c r="P98">
        <v>0.27499999999999702</v>
      </c>
      <c r="Q98">
        <v>0.16583955735051301</v>
      </c>
      <c r="R98" t="s">
        <v>424</v>
      </c>
    </row>
    <row r="99" spans="1:18" x14ac:dyDescent="0.3">
      <c r="A99" t="s">
        <v>358</v>
      </c>
      <c r="B99" t="s">
        <v>421</v>
      </c>
      <c r="C99">
        <v>-1.89711998488589</v>
      </c>
      <c r="D99" t="s">
        <v>424</v>
      </c>
      <c r="J99" t="s">
        <v>360</v>
      </c>
      <c r="K99" t="s">
        <v>423</v>
      </c>
      <c r="L99">
        <v>7.2320661579626994E-2</v>
      </c>
      <c r="M99">
        <v>0.30505693825706998</v>
      </c>
      <c r="N99">
        <v>0.237072665820447</v>
      </c>
      <c r="O99">
        <v>0.81260041746369704</v>
      </c>
      <c r="P99">
        <v>1.075</v>
      </c>
      <c r="Q99">
        <v>0.32793620862635098</v>
      </c>
      <c r="R99" t="s">
        <v>424</v>
      </c>
    </row>
    <row r="100" spans="1:18" x14ac:dyDescent="0.3">
      <c r="A100" t="s">
        <v>358</v>
      </c>
      <c r="B100" t="s">
        <v>416</v>
      </c>
      <c r="C100">
        <v>-1.89711998488589</v>
      </c>
      <c r="D100" t="s">
        <v>424</v>
      </c>
      <c r="J100" t="s">
        <v>362</v>
      </c>
      <c r="K100" t="s">
        <v>423</v>
      </c>
      <c r="L100">
        <v>-0.31015492830383901</v>
      </c>
      <c r="M100">
        <v>0.30155167177833098</v>
      </c>
      <c r="N100">
        <v>-1.0285299579828899</v>
      </c>
      <c r="O100">
        <v>0.30370060622011102</v>
      </c>
      <c r="P100">
        <v>0.73333333333333395</v>
      </c>
      <c r="Q100">
        <v>0.22113789263744299</v>
      </c>
      <c r="R100" t="s">
        <v>424</v>
      </c>
    </row>
    <row r="101" spans="1:18" x14ac:dyDescent="0.3">
      <c r="A101" t="s">
        <v>366</v>
      </c>
      <c r="B101" t="s">
        <v>419</v>
      </c>
      <c r="C101">
        <v>-2.0149030205422598</v>
      </c>
      <c r="D101" t="s">
        <v>424</v>
      </c>
      <c r="J101" t="s">
        <v>364</v>
      </c>
      <c r="K101" t="s">
        <v>423</v>
      </c>
      <c r="L101">
        <v>-0.69314718055994196</v>
      </c>
      <c r="M101">
        <v>0.36518167146852798</v>
      </c>
      <c r="N101">
        <v>-1.89808863564413</v>
      </c>
      <c r="O101">
        <v>5.76844069485851E-2</v>
      </c>
      <c r="P101">
        <v>0.500000000000002</v>
      </c>
      <c r="Q101">
        <v>0.18259083573426499</v>
      </c>
      <c r="R101" t="s">
        <v>424</v>
      </c>
    </row>
    <row r="102" spans="1:18" x14ac:dyDescent="0.3">
      <c r="A102" t="s">
        <v>362</v>
      </c>
      <c r="B102" t="s">
        <v>418</v>
      </c>
      <c r="C102">
        <v>-2.0149030205422598</v>
      </c>
      <c r="D102" t="s">
        <v>424</v>
      </c>
      <c r="J102" t="s">
        <v>366</v>
      </c>
      <c r="K102" t="s">
        <v>423</v>
      </c>
      <c r="L102">
        <v>-1.45528723260684</v>
      </c>
      <c r="M102">
        <v>0.53454523247102403</v>
      </c>
      <c r="N102">
        <v>-2.7224772464615099</v>
      </c>
      <c r="O102">
        <v>6.47944951938425E-3</v>
      </c>
      <c r="P102">
        <v>0.233333333333333</v>
      </c>
      <c r="Q102">
        <v>0.124727220909906</v>
      </c>
      <c r="R102" t="s">
        <v>424</v>
      </c>
    </row>
    <row r="103" spans="1:18" x14ac:dyDescent="0.3">
      <c r="A103" t="s">
        <v>368</v>
      </c>
      <c r="B103" t="s">
        <v>412</v>
      </c>
      <c r="C103">
        <v>-2.01490302054227</v>
      </c>
      <c r="D103" t="s">
        <v>424</v>
      </c>
      <c r="J103" t="s">
        <v>368</v>
      </c>
      <c r="K103" t="s">
        <v>423</v>
      </c>
      <c r="L103">
        <v>-2.7080502011022198</v>
      </c>
      <c r="M103">
        <v>1.0000121598476699</v>
      </c>
      <c r="N103">
        <v>-2.7080172720246898</v>
      </c>
      <c r="O103">
        <v>6.7686499713580303E-3</v>
      </c>
      <c r="P103">
        <v>6.6666666666666305E-2</v>
      </c>
      <c r="Q103">
        <v>6.6667477323177904E-2</v>
      </c>
      <c r="R103" t="s">
        <v>424</v>
      </c>
    </row>
    <row r="104" spans="1:18" x14ac:dyDescent="0.3">
      <c r="A104" t="s">
        <v>366</v>
      </c>
      <c r="B104" t="s">
        <v>422</v>
      </c>
      <c r="C104">
        <v>-2.1484344131667799</v>
      </c>
      <c r="D104" t="s">
        <v>424</v>
      </c>
      <c r="J104" t="s">
        <v>370</v>
      </c>
      <c r="K104" t="s">
        <v>423</v>
      </c>
      <c r="L104">
        <v>-2.3025850929940499</v>
      </c>
      <c r="M104">
        <v>0.81651147359353304</v>
      </c>
      <c r="N104">
        <v>-2.8200278470799498</v>
      </c>
      <c r="O104">
        <v>4.8019482124426601E-3</v>
      </c>
      <c r="P104">
        <v>9.99999999999997E-2</v>
      </c>
      <c r="Q104">
        <v>8.1651147359352999E-2</v>
      </c>
      <c r="R104" t="s">
        <v>424</v>
      </c>
    </row>
    <row r="105" spans="1:18" x14ac:dyDescent="0.3">
      <c r="A105" t="s">
        <v>370</v>
      </c>
      <c r="B105" t="s">
        <v>420</v>
      </c>
      <c r="C105">
        <v>-2.3025850929940499</v>
      </c>
      <c r="D105" t="s">
        <v>424</v>
      </c>
    </row>
    <row r="106" spans="1:18" x14ac:dyDescent="0.3">
      <c r="A106" t="s">
        <v>370</v>
      </c>
      <c r="B106" t="s">
        <v>423</v>
      </c>
      <c r="C106">
        <v>-2.3025850929940499</v>
      </c>
      <c r="D106" t="s">
        <v>424</v>
      </c>
    </row>
    <row r="107" spans="1:18" x14ac:dyDescent="0.3">
      <c r="A107" t="s">
        <v>370</v>
      </c>
      <c r="B107" t="s">
        <v>419</v>
      </c>
      <c r="C107">
        <v>-2.3025850929940499</v>
      </c>
      <c r="D107" t="s">
        <v>424</v>
      </c>
    </row>
    <row r="108" spans="1:18" x14ac:dyDescent="0.3">
      <c r="A108" t="s">
        <v>360</v>
      </c>
      <c r="B108" t="s">
        <v>417</v>
      </c>
      <c r="C108">
        <v>-2.3025850929940499</v>
      </c>
      <c r="D108" t="s">
        <v>424</v>
      </c>
    </row>
    <row r="109" spans="1:18" x14ac:dyDescent="0.3">
      <c r="A109" t="s">
        <v>368</v>
      </c>
      <c r="B109" t="s">
        <v>420</v>
      </c>
      <c r="C109">
        <v>-2.4849066497879999</v>
      </c>
      <c r="D109" t="s">
        <v>424</v>
      </c>
    </row>
    <row r="110" spans="1:18" x14ac:dyDescent="0.3">
      <c r="A110" t="s">
        <v>370</v>
      </c>
      <c r="B110" t="s">
        <v>422</v>
      </c>
      <c r="C110">
        <v>-2.4849066497879999</v>
      </c>
      <c r="D110" t="s">
        <v>424</v>
      </c>
    </row>
    <row r="111" spans="1:18" x14ac:dyDescent="0.3">
      <c r="A111" t="s">
        <v>370</v>
      </c>
      <c r="B111" t="s">
        <v>415</v>
      </c>
      <c r="C111">
        <v>-2.4849066497879999</v>
      </c>
      <c r="D111" t="s">
        <v>424</v>
      </c>
    </row>
    <row r="112" spans="1:18" x14ac:dyDescent="0.3">
      <c r="A112" t="s">
        <v>366</v>
      </c>
      <c r="B112" t="s">
        <v>416</v>
      </c>
      <c r="C112">
        <v>-2.4849066497880199</v>
      </c>
      <c r="D112" t="s">
        <v>424</v>
      </c>
    </row>
    <row r="113" spans="1:4" x14ac:dyDescent="0.3">
      <c r="A113" t="s">
        <v>368</v>
      </c>
      <c r="B113" t="s">
        <v>413</v>
      </c>
      <c r="C113">
        <v>-2.7080502011022101</v>
      </c>
      <c r="D113" t="s">
        <v>424</v>
      </c>
    </row>
    <row r="114" spans="1:4" x14ac:dyDescent="0.3">
      <c r="A114" t="s">
        <v>368</v>
      </c>
      <c r="B114" t="s">
        <v>423</v>
      </c>
      <c r="C114">
        <v>-2.7080502011022198</v>
      </c>
      <c r="D114" t="s">
        <v>424</v>
      </c>
    </row>
    <row r="115" spans="1:4" x14ac:dyDescent="0.3">
      <c r="A115" t="s">
        <v>370</v>
      </c>
      <c r="B115" t="s">
        <v>417</v>
      </c>
      <c r="C115">
        <v>-2.7080502011022198</v>
      </c>
      <c r="D115" t="s">
        <v>424</v>
      </c>
    </row>
    <row r="116" spans="1:4" x14ac:dyDescent="0.3">
      <c r="A116" t="s">
        <v>368</v>
      </c>
      <c r="B116" t="s">
        <v>421</v>
      </c>
      <c r="C116">
        <v>-2.7080502011022198</v>
      </c>
      <c r="D116" t="s">
        <v>424</v>
      </c>
    </row>
    <row r="117" spans="1:4" x14ac:dyDescent="0.3">
      <c r="A117" t="s">
        <v>360</v>
      </c>
      <c r="B117" t="s">
        <v>418</v>
      </c>
      <c r="C117">
        <v>-2.99573227355397</v>
      </c>
      <c r="D117" t="s">
        <v>424</v>
      </c>
    </row>
    <row r="118" spans="1:4" x14ac:dyDescent="0.3">
      <c r="A118" t="s">
        <v>370</v>
      </c>
      <c r="B118" t="s">
        <v>414</v>
      </c>
      <c r="C118">
        <v>-2.99573227355399</v>
      </c>
      <c r="D118" t="s">
        <v>424</v>
      </c>
    </row>
    <row r="119" spans="1:4" x14ac:dyDescent="0.3">
      <c r="A119" t="s">
        <v>368</v>
      </c>
      <c r="B119" t="s">
        <v>422</v>
      </c>
      <c r="C119">
        <v>-2.9957322735540002</v>
      </c>
      <c r="D119" t="s">
        <v>424</v>
      </c>
    </row>
    <row r="120" spans="1:4" x14ac:dyDescent="0.3">
      <c r="A120" t="s">
        <v>370</v>
      </c>
      <c r="B120" t="s">
        <v>412</v>
      </c>
      <c r="C120">
        <v>-2.9957322735540002</v>
      </c>
      <c r="D120" t="s">
        <v>424</v>
      </c>
    </row>
    <row r="121" spans="1:4" x14ac:dyDescent="0.3">
      <c r="A121" t="s">
        <v>368</v>
      </c>
      <c r="B121" t="s">
        <v>415</v>
      </c>
      <c r="C121">
        <v>-2.99573227355401</v>
      </c>
      <c r="D121" t="s">
        <v>424</v>
      </c>
    </row>
    <row r="122" spans="1:4" x14ac:dyDescent="0.3">
      <c r="A122" t="s">
        <v>368</v>
      </c>
      <c r="B122" t="s">
        <v>418</v>
      </c>
      <c r="C122">
        <v>-3.4011973816621501</v>
      </c>
      <c r="D122" t="s">
        <v>424</v>
      </c>
    </row>
    <row r="123" spans="1:4" x14ac:dyDescent="0.3">
      <c r="A123" t="s">
        <v>362</v>
      </c>
      <c r="B123" t="s">
        <v>419</v>
      </c>
      <c r="C123">
        <v>-3.4011973816621599</v>
      </c>
      <c r="D123" t="s">
        <v>424</v>
      </c>
    </row>
    <row r="124" spans="1:4" x14ac:dyDescent="0.3">
      <c r="A124" t="s">
        <v>366</v>
      </c>
      <c r="B124" t="s">
        <v>413</v>
      </c>
      <c r="C124">
        <v>-3.4011973816621599</v>
      </c>
      <c r="D124" t="s">
        <v>424</v>
      </c>
    </row>
    <row r="125" spans="1:4" x14ac:dyDescent="0.3">
      <c r="A125" t="s">
        <v>368</v>
      </c>
      <c r="B125" t="s">
        <v>417</v>
      </c>
      <c r="C125">
        <v>-3.4011973816621599</v>
      </c>
      <c r="D125" t="s">
        <v>424</v>
      </c>
    </row>
    <row r="126" spans="1:4" x14ac:dyDescent="0.3">
      <c r="A126" t="s">
        <v>368</v>
      </c>
      <c r="B126" t="s">
        <v>414</v>
      </c>
      <c r="C126">
        <v>-4.0943445622221004</v>
      </c>
      <c r="D126" t="s">
        <v>424</v>
      </c>
    </row>
    <row r="127" spans="1:4" x14ac:dyDescent="0.3">
      <c r="A127" t="s">
        <v>370</v>
      </c>
      <c r="B127" t="s">
        <v>416</v>
      </c>
      <c r="C127">
        <v>-37.043653264484803</v>
      </c>
      <c r="D127" t="s">
        <v>424</v>
      </c>
    </row>
    <row r="128" spans="1:4" x14ac:dyDescent="0.3">
      <c r="A128" t="s">
        <v>370</v>
      </c>
      <c r="B128" t="s">
        <v>418</v>
      </c>
      <c r="C128">
        <v>-37.043653378790701</v>
      </c>
      <c r="D128" t="s">
        <v>424</v>
      </c>
    </row>
    <row r="129" spans="1:4" x14ac:dyDescent="0.3">
      <c r="A129" t="s">
        <v>368</v>
      </c>
      <c r="B129" t="s">
        <v>419</v>
      </c>
      <c r="C129">
        <v>-37.043653382678102</v>
      </c>
      <c r="D129" t="s">
        <v>424</v>
      </c>
    </row>
    <row r="130" spans="1:4" x14ac:dyDescent="0.3">
      <c r="A130" t="s">
        <v>370</v>
      </c>
      <c r="B130" t="s">
        <v>421</v>
      </c>
      <c r="C130">
        <v>-37.043653392023103</v>
      </c>
      <c r="D130" t="s">
        <v>424</v>
      </c>
    </row>
    <row r="131" spans="1:4" x14ac:dyDescent="0.3">
      <c r="A131" t="s">
        <v>368</v>
      </c>
      <c r="B131" t="s">
        <v>416</v>
      </c>
      <c r="C131">
        <v>-37.043653434548197</v>
      </c>
      <c r="D131" t="s">
        <v>424</v>
      </c>
    </row>
  </sheetData>
  <conditionalFormatting sqref="E5:E7">
    <cfRule type="cellIs" dxfId="18" priority="1" operator="between">
      <formula>0.01</formula>
      <formula>0.05</formula>
    </cfRule>
    <cfRule type="cellIs" dxfId="17" priority="2" operator="between">
      <formula>0.001</formula>
      <formula>0.01</formula>
    </cfRule>
    <cfRule type="cellIs" dxfId="16" priority="3" operator="lessThan">
      <formula>0.001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U51"/>
  <sheetViews>
    <sheetView tabSelected="1" topLeftCell="I24" workbookViewId="0">
      <selection activeCell="R31" sqref="R31:S31"/>
    </sheetView>
  </sheetViews>
  <sheetFormatPr defaultColWidth="11.44140625" defaultRowHeight="14.4" x14ac:dyDescent="0.3"/>
  <sheetData>
    <row r="1" spans="2:21" x14ac:dyDescent="0.3">
      <c r="B1" t="s">
        <v>238</v>
      </c>
      <c r="C1" t="s">
        <v>239</v>
      </c>
      <c r="D1" t="s">
        <v>240</v>
      </c>
      <c r="E1" t="s">
        <v>241</v>
      </c>
      <c r="F1" t="s">
        <v>242</v>
      </c>
      <c r="G1" t="s">
        <v>243</v>
      </c>
      <c r="H1" t="s">
        <v>244</v>
      </c>
      <c r="I1" t="s">
        <v>245</v>
      </c>
      <c r="J1" t="s">
        <v>246</v>
      </c>
      <c r="K1" t="s">
        <v>247</v>
      </c>
      <c r="L1" t="s">
        <v>248</v>
      </c>
      <c r="M1" t="s">
        <v>249</v>
      </c>
      <c r="N1" t="s">
        <v>250</v>
      </c>
      <c r="O1" t="s">
        <v>251</v>
      </c>
      <c r="P1" t="s">
        <v>252</v>
      </c>
      <c r="Q1" t="s">
        <v>253</v>
      </c>
      <c r="R1" t="s">
        <v>254</v>
      </c>
      <c r="S1" t="s">
        <v>255</v>
      </c>
      <c r="T1" t="s">
        <v>256</v>
      </c>
      <c r="U1" t="s">
        <v>257</v>
      </c>
    </row>
    <row r="2" spans="2:21" x14ac:dyDescent="0.3">
      <c r="B2" t="s">
        <v>258</v>
      </c>
      <c r="C2" s="3">
        <v>0.35</v>
      </c>
      <c r="D2" s="3">
        <v>0.4</v>
      </c>
      <c r="E2" s="3">
        <v>0.15</v>
      </c>
      <c r="F2" s="3">
        <v>0.6</v>
      </c>
      <c r="G2" s="3">
        <v>0.5</v>
      </c>
      <c r="H2" s="3">
        <v>0.2</v>
      </c>
      <c r="I2" s="3">
        <v>0.75</v>
      </c>
      <c r="J2" s="3">
        <v>0.4</v>
      </c>
      <c r="K2" s="3">
        <v>0.3</v>
      </c>
      <c r="L2" s="3">
        <v>0.3</v>
      </c>
      <c r="M2" s="3">
        <v>0</v>
      </c>
      <c r="N2" s="3">
        <v>0.1</v>
      </c>
      <c r="O2" s="3">
        <v>0.05</v>
      </c>
      <c r="P2" s="3">
        <v>0.1</v>
      </c>
      <c r="Q2" s="3">
        <v>0</v>
      </c>
      <c r="R2" s="3">
        <v>0.25</v>
      </c>
      <c r="S2" s="3">
        <v>0.25</v>
      </c>
      <c r="T2" s="3">
        <v>0.75</v>
      </c>
      <c r="U2" s="3">
        <v>0.3</v>
      </c>
    </row>
    <row r="3" spans="2:21" x14ac:dyDescent="0.3">
      <c r="B3" t="s">
        <v>259</v>
      </c>
      <c r="C3" s="3">
        <v>0.6</v>
      </c>
      <c r="D3" s="3">
        <v>0.2</v>
      </c>
      <c r="E3" s="3">
        <v>0.25</v>
      </c>
      <c r="F3" s="3">
        <v>0.7</v>
      </c>
      <c r="G3" s="3">
        <v>1.35</v>
      </c>
      <c r="H3" s="3">
        <v>2.1</v>
      </c>
      <c r="I3" s="3">
        <v>0.05</v>
      </c>
      <c r="J3" s="3">
        <v>0.05</v>
      </c>
      <c r="K3" s="3">
        <v>0</v>
      </c>
      <c r="L3" s="3">
        <v>0.15</v>
      </c>
      <c r="M3" s="3">
        <v>0</v>
      </c>
      <c r="N3" s="3">
        <v>0.05</v>
      </c>
      <c r="O3" s="3">
        <v>0.3</v>
      </c>
      <c r="P3" s="3">
        <v>0.17</v>
      </c>
      <c r="Q3" s="3"/>
      <c r="R3" s="3">
        <v>0.25</v>
      </c>
      <c r="S3" s="3">
        <v>0.14000000000000001</v>
      </c>
      <c r="T3" s="3">
        <v>0.4</v>
      </c>
      <c r="U3" s="3">
        <v>0.6</v>
      </c>
    </row>
    <row r="4" spans="2:21" x14ac:dyDescent="0.3">
      <c r="B4" t="s">
        <v>190</v>
      </c>
      <c r="C4" s="3">
        <v>0.1</v>
      </c>
      <c r="D4" s="3">
        <v>0.35</v>
      </c>
      <c r="E4" s="3">
        <v>0.15</v>
      </c>
      <c r="F4" s="3">
        <v>0.95</v>
      </c>
      <c r="G4" s="3">
        <v>0.9</v>
      </c>
      <c r="H4" s="3">
        <v>0.4</v>
      </c>
      <c r="I4" s="3">
        <v>0.35</v>
      </c>
      <c r="J4" s="3">
        <v>0</v>
      </c>
      <c r="K4" s="3">
        <v>0.3</v>
      </c>
      <c r="L4" s="3">
        <v>0.05</v>
      </c>
      <c r="M4" s="3">
        <v>0</v>
      </c>
      <c r="N4" s="3">
        <v>0</v>
      </c>
      <c r="O4" s="3">
        <v>0.1</v>
      </c>
      <c r="P4" s="3">
        <v>0.03</v>
      </c>
      <c r="Q4" s="3"/>
      <c r="R4" s="3">
        <v>0.5</v>
      </c>
      <c r="S4" s="3">
        <v>0.15</v>
      </c>
      <c r="T4" s="3">
        <v>0.15</v>
      </c>
      <c r="U4" s="3">
        <v>0.95</v>
      </c>
    </row>
    <row r="5" spans="2:21" x14ac:dyDescent="0.3">
      <c r="B5" t="s">
        <v>260</v>
      </c>
      <c r="C5" s="3">
        <v>0.5</v>
      </c>
      <c r="D5" s="3">
        <v>0.3</v>
      </c>
      <c r="E5" s="3">
        <v>0</v>
      </c>
      <c r="F5" s="3">
        <v>0.4</v>
      </c>
      <c r="G5" s="3">
        <v>1.1000000000000001</v>
      </c>
      <c r="H5" s="3">
        <v>0.25</v>
      </c>
      <c r="I5" s="3">
        <v>0.35</v>
      </c>
      <c r="J5" s="3">
        <v>0.25</v>
      </c>
      <c r="K5" s="3">
        <v>0.2</v>
      </c>
      <c r="L5" s="3">
        <v>0.05</v>
      </c>
      <c r="M5" s="3">
        <v>0</v>
      </c>
      <c r="N5" s="3">
        <v>0.1</v>
      </c>
      <c r="O5" s="3">
        <v>0.1</v>
      </c>
      <c r="P5" s="3">
        <v>0.05</v>
      </c>
      <c r="Q5" s="3"/>
      <c r="R5" s="3">
        <v>0.3</v>
      </c>
      <c r="S5" s="3">
        <v>0.55000000000000004</v>
      </c>
      <c r="T5" s="3">
        <v>0.3</v>
      </c>
      <c r="U5" s="3">
        <v>0.1</v>
      </c>
    </row>
    <row r="6" spans="2:21" x14ac:dyDescent="0.3">
      <c r="B6" t="s">
        <v>261</v>
      </c>
      <c r="C6" s="3">
        <v>0.25</v>
      </c>
      <c r="D6" s="3">
        <v>0.15</v>
      </c>
      <c r="E6" s="3">
        <v>0.05</v>
      </c>
      <c r="F6" s="3">
        <v>0.05</v>
      </c>
      <c r="G6" s="3">
        <v>2.1</v>
      </c>
      <c r="H6" s="3">
        <v>1.25</v>
      </c>
      <c r="I6" s="3">
        <v>0.25</v>
      </c>
      <c r="J6" s="3">
        <v>0</v>
      </c>
      <c r="K6" s="3">
        <v>0.05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/>
      <c r="R6" s="3">
        <v>0</v>
      </c>
      <c r="S6" s="3">
        <v>0.3</v>
      </c>
      <c r="T6" s="3">
        <v>0.6</v>
      </c>
      <c r="U6" s="3">
        <v>0.3</v>
      </c>
    </row>
    <row r="7" spans="2:21" x14ac:dyDescent="0.3">
      <c r="B7" t="s">
        <v>192</v>
      </c>
      <c r="C7" s="3">
        <v>0.35</v>
      </c>
      <c r="D7" s="3">
        <v>0.45</v>
      </c>
      <c r="E7" s="3">
        <v>0.5</v>
      </c>
      <c r="F7" s="3">
        <v>0.65</v>
      </c>
      <c r="G7" s="3">
        <v>1.05</v>
      </c>
      <c r="H7" s="3">
        <v>0.1</v>
      </c>
      <c r="I7" s="3">
        <v>1.8</v>
      </c>
      <c r="J7" s="3">
        <v>0.05</v>
      </c>
      <c r="K7" s="3">
        <v>0.35</v>
      </c>
      <c r="L7" s="3">
        <v>0</v>
      </c>
      <c r="M7" s="3">
        <v>0.1</v>
      </c>
      <c r="N7" s="3">
        <v>0</v>
      </c>
      <c r="O7" s="3">
        <v>0.05</v>
      </c>
      <c r="P7" s="3">
        <v>0.1</v>
      </c>
      <c r="Q7" s="3"/>
      <c r="R7" s="3">
        <v>0.2</v>
      </c>
      <c r="S7" s="3">
        <v>0.4</v>
      </c>
      <c r="T7" s="3">
        <v>0.2</v>
      </c>
      <c r="U7" s="3">
        <v>0</v>
      </c>
    </row>
    <row r="8" spans="2:21" x14ac:dyDescent="0.3">
      <c r="B8" t="s">
        <v>262</v>
      </c>
      <c r="C8" s="3">
        <v>0.4</v>
      </c>
      <c r="D8" s="3">
        <v>0</v>
      </c>
      <c r="E8" s="3">
        <v>0</v>
      </c>
      <c r="F8" s="3">
        <v>0.6</v>
      </c>
      <c r="G8" s="3">
        <v>0.6</v>
      </c>
      <c r="H8" s="3">
        <v>1.9</v>
      </c>
      <c r="I8" s="3">
        <v>0.7</v>
      </c>
      <c r="J8" s="3">
        <v>0.6</v>
      </c>
      <c r="K8" s="3">
        <v>0</v>
      </c>
      <c r="L8" s="3">
        <v>0.05</v>
      </c>
      <c r="M8" s="3">
        <v>0</v>
      </c>
      <c r="N8" s="3">
        <v>0.05</v>
      </c>
      <c r="O8" s="3">
        <v>0</v>
      </c>
      <c r="P8" s="3">
        <v>0</v>
      </c>
      <c r="Q8" s="3"/>
      <c r="R8" s="3">
        <v>0.25</v>
      </c>
      <c r="S8" s="3">
        <v>0.8</v>
      </c>
      <c r="T8" s="3">
        <v>0.1</v>
      </c>
      <c r="U8" s="3">
        <v>0</v>
      </c>
    </row>
    <row r="9" spans="2:21" x14ac:dyDescent="0.3">
      <c r="B9" t="s">
        <v>263</v>
      </c>
      <c r="C9" s="3">
        <v>0.05</v>
      </c>
      <c r="D9" s="3">
        <v>0.05</v>
      </c>
      <c r="E9" s="3">
        <v>0</v>
      </c>
      <c r="F9" s="3">
        <v>0.2</v>
      </c>
      <c r="G9" s="3">
        <v>0.35</v>
      </c>
      <c r="H9" s="3">
        <v>0.95</v>
      </c>
      <c r="I9" s="3">
        <v>0.25</v>
      </c>
      <c r="J9" s="3">
        <v>0</v>
      </c>
      <c r="K9" s="3">
        <v>0.15</v>
      </c>
      <c r="L9" s="3">
        <v>0</v>
      </c>
      <c r="M9" s="3">
        <v>0</v>
      </c>
      <c r="N9" s="3">
        <v>0</v>
      </c>
      <c r="O9" s="3">
        <v>0.1</v>
      </c>
      <c r="P9" s="3">
        <v>0.1</v>
      </c>
      <c r="Q9" s="3"/>
      <c r="R9" s="3">
        <v>0.05</v>
      </c>
      <c r="S9" s="3">
        <v>0.35</v>
      </c>
      <c r="T9" s="3">
        <v>0.25</v>
      </c>
      <c r="U9" s="3">
        <v>0.7</v>
      </c>
    </row>
    <row r="10" spans="2:21" x14ac:dyDescent="0.3">
      <c r="B10" t="s">
        <v>194</v>
      </c>
      <c r="C10" s="3">
        <v>1.2</v>
      </c>
      <c r="D10" s="3">
        <v>0.4</v>
      </c>
      <c r="E10" s="3">
        <v>0.05</v>
      </c>
      <c r="F10" s="3">
        <v>0.2</v>
      </c>
      <c r="G10" s="3">
        <v>0.75</v>
      </c>
      <c r="H10" s="3">
        <v>0.4</v>
      </c>
      <c r="I10" s="3">
        <v>0.45</v>
      </c>
      <c r="J10" s="3">
        <v>0.2</v>
      </c>
      <c r="K10" s="3">
        <v>0.4</v>
      </c>
      <c r="L10" s="3">
        <v>0.05</v>
      </c>
      <c r="M10" s="3">
        <v>0.05</v>
      </c>
      <c r="N10" s="3">
        <v>0.15</v>
      </c>
      <c r="O10" s="3">
        <v>0.05</v>
      </c>
      <c r="P10" s="3">
        <v>0.12</v>
      </c>
      <c r="Q10" s="3"/>
      <c r="R10" s="3">
        <v>0.1</v>
      </c>
      <c r="S10" s="3">
        <v>0.5</v>
      </c>
      <c r="T10" s="3">
        <v>0.95</v>
      </c>
      <c r="U10" s="3">
        <v>0.25</v>
      </c>
    </row>
    <row r="11" spans="2:21" x14ac:dyDescent="0.3">
      <c r="B11" t="s">
        <v>264</v>
      </c>
      <c r="C11" s="3">
        <v>0.45</v>
      </c>
      <c r="D11" s="3">
        <v>0.1</v>
      </c>
      <c r="E11" s="3">
        <v>0</v>
      </c>
      <c r="F11" s="3">
        <v>0.6</v>
      </c>
      <c r="G11" s="3">
        <v>1.8</v>
      </c>
      <c r="H11" s="3">
        <v>1.3</v>
      </c>
      <c r="I11" s="3">
        <v>0.55000000000000004</v>
      </c>
      <c r="J11" s="3">
        <v>0.05</v>
      </c>
      <c r="K11" s="3">
        <v>0</v>
      </c>
      <c r="L11" s="3">
        <v>0.2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0.1</v>
      </c>
      <c r="S11" s="3">
        <v>0.2</v>
      </c>
      <c r="T11" s="3">
        <v>0.1</v>
      </c>
      <c r="U11" s="3">
        <v>0.3</v>
      </c>
    </row>
    <row r="12" spans="2:21" x14ac:dyDescent="0.3">
      <c r="B12" t="s">
        <v>265</v>
      </c>
      <c r="C12" s="3">
        <v>0.75</v>
      </c>
      <c r="D12" s="3">
        <v>0.7</v>
      </c>
      <c r="E12" s="3">
        <v>0.4</v>
      </c>
      <c r="F12" s="3">
        <v>0</v>
      </c>
      <c r="G12" s="3">
        <v>0.55000000000000004</v>
      </c>
      <c r="H12" s="3">
        <v>1</v>
      </c>
      <c r="I12" s="3">
        <v>0.35</v>
      </c>
      <c r="J12" s="3">
        <v>0</v>
      </c>
      <c r="K12" s="3">
        <v>0</v>
      </c>
      <c r="L12" s="3">
        <v>0.1</v>
      </c>
      <c r="M12" s="3">
        <v>0.05</v>
      </c>
      <c r="N12" s="3">
        <v>0</v>
      </c>
      <c r="O12" s="3">
        <v>0.25</v>
      </c>
      <c r="P12" s="3">
        <v>0</v>
      </c>
      <c r="Q12" s="3">
        <v>0</v>
      </c>
      <c r="R12" s="3">
        <v>0</v>
      </c>
      <c r="S12" s="3">
        <v>0.75</v>
      </c>
      <c r="T12" s="3">
        <v>0.35</v>
      </c>
      <c r="U12" s="3">
        <v>0.05</v>
      </c>
    </row>
    <row r="13" spans="2:21" x14ac:dyDescent="0.3">
      <c r="B13" t="s">
        <v>196</v>
      </c>
      <c r="C13" s="3">
        <v>1.25</v>
      </c>
      <c r="D13" s="3">
        <v>0.75</v>
      </c>
      <c r="E13" s="3">
        <v>0.2</v>
      </c>
      <c r="F13" s="3">
        <v>0.45</v>
      </c>
      <c r="G13" s="3">
        <v>0.45</v>
      </c>
      <c r="H13" s="3">
        <v>0.6</v>
      </c>
      <c r="I13" s="3">
        <v>0.4</v>
      </c>
      <c r="J13" s="3">
        <v>0.3</v>
      </c>
      <c r="K13" s="3">
        <v>0</v>
      </c>
      <c r="L13" s="3">
        <v>0</v>
      </c>
      <c r="M13" s="3">
        <v>0.2</v>
      </c>
      <c r="N13" s="3">
        <v>0</v>
      </c>
      <c r="O13" s="3">
        <v>0.2</v>
      </c>
      <c r="P13" s="3">
        <v>0.05</v>
      </c>
      <c r="Q13" s="3">
        <v>0.05</v>
      </c>
      <c r="R13" s="3">
        <v>0.25</v>
      </c>
      <c r="S13" s="3">
        <v>0.3</v>
      </c>
      <c r="T13" s="3">
        <v>1.2</v>
      </c>
      <c r="U13" s="3">
        <v>0.95</v>
      </c>
    </row>
    <row r="15" spans="2:21" x14ac:dyDescent="0.3">
      <c r="C15">
        <f>MAX(C2:C13)</f>
        <v>1.25</v>
      </c>
      <c r="D15">
        <f t="shared" ref="D15:U15" si="0">MAX(D2:D13)</f>
        <v>0.75</v>
      </c>
      <c r="E15">
        <f t="shared" si="0"/>
        <v>0.5</v>
      </c>
      <c r="F15">
        <f t="shared" si="0"/>
        <v>0.95</v>
      </c>
      <c r="G15">
        <f t="shared" si="0"/>
        <v>2.1</v>
      </c>
      <c r="H15">
        <f t="shared" si="0"/>
        <v>2.1</v>
      </c>
      <c r="I15">
        <f t="shared" si="0"/>
        <v>1.8</v>
      </c>
      <c r="J15">
        <f t="shared" si="0"/>
        <v>0.6</v>
      </c>
      <c r="K15">
        <f t="shared" si="0"/>
        <v>0.4</v>
      </c>
      <c r="L15">
        <f t="shared" si="0"/>
        <v>0.3</v>
      </c>
      <c r="M15">
        <f t="shared" si="0"/>
        <v>0.2</v>
      </c>
      <c r="N15">
        <f t="shared" si="0"/>
        <v>0.15</v>
      </c>
      <c r="O15">
        <f t="shared" si="0"/>
        <v>0.3</v>
      </c>
      <c r="P15">
        <f t="shared" si="0"/>
        <v>0.17</v>
      </c>
      <c r="Q15">
        <f t="shared" si="0"/>
        <v>0.05</v>
      </c>
      <c r="R15">
        <f t="shared" si="0"/>
        <v>0.5</v>
      </c>
      <c r="S15">
        <f t="shared" si="0"/>
        <v>0.8</v>
      </c>
      <c r="T15">
        <f t="shared" si="0"/>
        <v>1.2</v>
      </c>
      <c r="U15">
        <f t="shared" si="0"/>
        <v>0.95</v>
      </c>
    </row>
    <row r="18" spans="2:21" x14ac:dyDescent="0.3">
      <c r="B18" t="s">
        <v>58</v>
      </c>
      <c r="C18" t="s">
        <v>59</v>
      </c>
      <c r="D18" t="s">
        <v>60</v>
      </c>
      <c r="E18" t="s">
        <v>30</v>
      </c>
      <c r="F18" t="s">
        <v>31</v>
      </c>
      <c r="G18" t="s">
        <v>61</v>
      </c>
      <c r="H18" t="s">
        <v>62</v>
      </c>
      <c r="I18" t="s">
        <v>63</v>
      </c>
    </row>
    <row r="19" spans="2:21" x14ac:dyDescent="0.3">
      <c r="B19" t="s">
        <v>2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2:21" x14ac:dyDescent="0.3">
      <c r="B20" t="s">
        <v>3</v>
      </c>
      <c r="C20">
        <v>0.8</v>
      </c>
      <c r="D20">
        <v>1.2</v>
      </c>
      <c r="E20">
        <v>1.25</v>
      </c>
      <c r="F20">
        <v>2.1</v>
      </c>
      <c r="G20">
        <v>1.8</v>
      </c>
      <c r="H20">
        <v>0.3</v>
      </c>
      <c r="I20">
        <v>0.3</v>
      </c>
    </row>
    <row r="21" spans="2:21" x14ac:dyDescent="0.3">
      <c r="B21" t="s">
        <v>4</v>
      </c>
      <c r="C21">
        <v>0.28999999999999998</v>
      </c>
      <c r="D21">
        <v>0.41</v>
      </c>
      <c r="E21">
        <v>0.33</v>
      </c>
      <c r="F21">
        <v>0.76</v>
      </c>
      <c r="G21">
        <v>0.28000000000000003</v>
      </c>
      <c r="H21">
        <v>0.05</v>
      </c>
      <c r="I21">
        <v>7.0000000000000007E-2</v>
      </c>
    </row>
    <row r="22" spans="2:21" x14ac:dyDescent="0.3">
      <c r="B22" t="s">
        <v>58</v>
      </c>
      <c r="C22" t="s">
        <v>29</v>
      </c>
      <c r="D22" t="s">
        <v>28</v>
      </c>
      <c r="E22" t="s">
        <v>5</v>
      </c>
    </row>
    <row r="23" spans="2:21" x14ac:dyDescent="0.3">
      <c r="B23" t="s">
        <v>2</v>
      </c>
      <c r="C23">
        <v>0</v>
      </c>
      <c r="D23">
        <v>0</v>
      </c>
      <c r="E23">
        <v>0</v>
      </c>
    </row>
    <row r="24" spans="2:21" x14ac:dyDescent="0.3">
      <c r="B24" t="s">
        <v>3</v>
      </c>
      <c r="C24">
        <v>1.2</v>
      </c>
      <c r="D24">
        <v>2.1</v>
      </c>
      <c r="E24">
        <v>1.8</v>
      </c>
    </row>
    <row r="25" spans="2:21" x14ac:dyDescent="0.3">
      <c r="B25" t="s">
        <v>4</v>
      </c>
      <c r="C25">
        <v>0.35</v>
      </c>
      <c r="D25">
        <v>0.54</v>
      </c>
      <c r="E25">
        <v>0.14000000000000001</v>
      </c>
    </row>
    <row r="27" spans="2:21" x14ac:dyDescent="0.3">
      <c r="B27" t="s">
        <v>238</v>
      </c>
      <c r="C27" t="s">
        <v>266</v>
      </c>
      <c r="D27" t="s">
        <v>267</v>
      </c>
      <c r="E27" t="s">
        <v>268</v>
      </c>
      <c r="F27" t="s">
        <v>269</v>
      </c>
      <c r="G27" t="s">
        <v>270</v>
      </c>
      <c r="H27" t="s">
        <v>271</v>
      </c>
      <c r="I27" t="s">
        <v>272</v>
      </c>
      <c r="J27" t="s">
        <v>273</v>
      </c>
      <c r="K27" t="s">
        <v>274</v>
      </c>
      <c r="L27" t="s">
        <v>275</v>
      </c>
      <c r="M27" t="s">
        <v>276</v>
      </c>
      <c r="N27" t="s">
        <v>277</v>
      </c>
      <c r="O27" t="s">
        <v>278</v>
      </c>
      <c r="P27" t="s">
        <v>279</v>
      </c>
      <c r="Q27" t="s">
        <v>280</v>
      </c>
      <c r="R27" t="s">
        <v>281</v>
      </c>
      <c r="S27" t="s">
        <v>282</v>
      </c>
      <c r="T27" t="s">
        <v>283</v>
      </c>
      <c r="U27" t="s">
        <v>284</v>
      </c>
    </row>
    <row r="28" spans="2:21" x14ac:dyDescent="0.3">
      <c r="B28" t="s">
        <v>258</v>
      </c>
      <c r="C28" s="3">
        <v>60</v>
      </c>
      <c r="D28" s="3">
        <v>60</v>
      </c>
      <c r="E28" s="3">
        <v>60</v>
      </c>
      <c r="F28" s="3">
        <v>80</v>
      </c>
      <c r="G28" s="3">
        <v>60</v>
      </c>
      <c r="H28" s="3">
        <v>60</v>
      </c>
      <c r="I28" s="3">
        <v>80</v>
      </c>
      <c r="J28" s="3">
        <v>80</v>
      </c>
      <c r="K28" s="3">
        <v>80</v>
      </c>
      <c r="L28" s="3">
        <v>80</v>
      </c>
      <c r="M28" s="3">
        <v>0</v>
      </c>
      <c r="N28" s="3">
        <v>40</v>
      </c>
      <c r="O28" s="3">
        <v>20</v>
      </c>
      <c r="P28" s="3">
        <v>40</v>
      </c>
      <c r="Q28" s="3">
        <v>0</v>
      </c>
      <c r="R28" s="3">
        <v>40</v>
      </c>
      <c r="S28" s="3">
        <v>60</v>
      </c>
      <c r="T28" s="3">
        <v>80</v>
      </c>
      <c r="U28" s="3">
        <v>80</v>
      </c>
    </row>
    <row r="29" spans="2:21" x14ac:dyDescent="0.3">
      <c r="B29" t="s">
        <v>259</v>
      </c>
      <c r="C29" s="3">
        <v>80</v>
      </c>
      <c r="D29" s="3">
        <v>60</v>
      </c>
      <c r="E29" s="3">
        <v>80</v>
      </c>
      <c r="F29" s="3">
        <v>60</v>
      </c>
      <c r="G29" s="3">
        <v>100</v>
      </c>
      <c r="H29" s="3">
        <v>100</v>
      </c>
      <c r="I29" s="3">
        <v>20</v>
      </c>
      <c r="J29" s="3">
        <v>20</v>
      </c>
      <c r="K29" s="3">
        <v>0</v>
      </c>
      <c r="L29" s="3">
        <v>40</v>
      </c>
      <c r="M29" s="3">
        <v>0</v>
      </c>
      <c r="N29" s="3">
        <v>20</v>
      </c>
      <c r="O29" s="3">
        <v>80</v>
      </c>
      <c r="P29" s="3">
        <v>50</v>
      </c>
      <c r="Q29" s="3"/>
      <c r="R29" s="3">
        <v>66.67</v>
      </c>
      <c r="S29" s="3">
        <v>57.14</v>
      </c>
      <c r="T29" s="3">
        <v>40</v>
      </c>
      <c r="U29" s="3">
        <v>60</v>
      </c>
    </row>
    <row r="30" spans="2:21" x14ac:dyDescent="0.3">
      <c r="B30" t="s">
        <v>190</v>
      </c>
      <c r="C30" s="3">
        <v>20</v>
      </c>
      <c r="D30" s="3">
        <v>40</v>
      </c>
      <c r="E30" s="3">
        <v>60</v>
      </c>
      <c r="F30" s="3">
        <v>80</v>
      </c>
      <c r="G30" s="3">
        <v>40</v>
      </c>
      <c r="H30" s="3">
        <v>60</v>
      </c>
      <c r="I30" s="3">
        <v>60</v>
      </c>
      <c r="J30" s="3">
        <v>0</v>
      </c>
      <c r="K30" s="3">
        <v>80</v>
      </c>
      <c r="L30" s="3">
        <v>20</v>
      </c>
      <c r="M30" s="3">
        <v>0</v>
      </c>
      <c r="N30" s="3">
        <v>0</v>
      </c>
      <c r="O30" s="3">
        <v>40</v>
      </c>
      <c r="P30" s="3">
        <v>10</v>
      </c>
      <c r="Q30" s="3"/>
      <c r="R30" s="3">
        <v>60</v>
      </c>
      <c r="S30" s="3">
        <v>60</v>
      </c>
      <c r="T30" s="3">
        <v>60</v>
      </c>
      <c r="U30" s="3">
        <v>100</v>
      </c>
    </row>
    <row r="31" spans="2:21" x14ac:dyDescent="0.3">
      <c r="B31" t="s">
        <v>260</v>
      </c>
      <c r="C31" s="3">
        <v>60</v>
      </c>
      <c r="D31" s="3">
        <v>20</v>
      </c>
      <c r="E31" s="3">
        <v>0</v>
      </c>
      <c r="F31" s="3">
        <v>60</v>
      </c>
      <c r="G31" s="3">
        <v>80</v>
      </c>
      <c r="H31" s="3">
        <v>40</v>
      </c>
      <c r="I31" s="3">
        <v>60</v>
      </c>
      <c r="J31" s="3">
        <v>60</v>
      </c>
      <c r="K31" s="3">
        <v>20</v>
      </c>
      <c r="L31" s="3">
        <v>20</v>
      </c>
      <c r="M31" s="3">
        <v>0</v>
      </c>
      <c r="N31" s="3">
        <v>40</v>
      </c>
      <c r="O31" s="3">
        <v>20</v>
      </c>
      <c r="P31" s="3">
        <v>20</v>
      </c>
      <c r="Q31" s="3"/>
      <c r="R31" s="3">
        <v>100</v>
      </c>
      <c r="S31" s="3">
        <v>80</v>
      </c>
      <c r="T31" s="3">
        <v>60</v>
      </c>
      <c r="U31" s="3">
        <v>40</v>
      </c>
    </row>
    <row r="32" spans="2:21" x14ac:dyDescent="0.3">
      <c r="B32" t="s">
        <v>261</v>
      </c>
      <c r="C32" s="3">
        <v>40</v>
      </c>
      <c r="D32" s="3">
        <v>40</v>
      </c>
      <c r="E32" s="3">
        <v>20</v>
      </c>
      <c r="F32" s="3">
        <v>20</v>
      </c>
      <c r="G32" s="3">
        <v>100</v>
      </c>
      <c r="H32" s="3">
        <v>100</v>
      </c>
      <c r="I32" s="3">
        <v>25</v>
      </c>
      <c r="J32" s="3">
        <v>0</v>
      </c>
      <c r="K32" s="3">
        <v>20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/>
      <c r="R32" s="3">
        <v>0</v>
      </c>
      <c r="S32" s="3">
        <v>40</v>
      </c>
      <c r="T32" s="3">
        <v>40</v>
      </c>
      <c r="U32" s="3">
        <v>20</v>
      </c>
    </row>
    <row r="33" spans="2:21" x14ac:dyDescent="0.3">
      <c r="B33" t="s">
        <v>192</v>
      </c>
      <c r="C33" s="3">
        <v>60</v>
      </c>
      <c r="D33" s="3">
        <v>40</v>
      </c>
      <c r="E33" s="3">
        <v>20</v>
      </c>
      <c r="F33" s="3">
        <v>80</v>
      </c>
      <c r="G33" s="3">
        <v>80</v>
      </c>
      <c r="H33" s="3">
        <v>40</v>
      </c>
      <c r="I33" s="3">
        <v>100</v>
      </c>
      <c r="J33" s="3">
        <v>20</v>
      </c>
      <c r="K33" s="3">
        <v>40</v>
      </c>
      <c r="L33" s="3">
        <v>0</v>
      </c>
      <c r="M33" s="3">
        <v>40</v>
      </c>
      <c r="N33" s="3">
        <v>0</v>
      </c>
      <c r="O33" s="3">
        <v>10</v>
      </c>
      <c r="P33" s="3">
        <v>40</v>
      </c>
      <c r="Q33" s="3"/>
      <c r="R33" s="3">
        <v>40</v>
      </c>
      <c r="S33" s="3">
        <v>60</v>
      </c>
      <c r="T33" s="3">
        <v>20</v>
      </c>
      <c r="U33" s="3">
        <v>0</v>
      </c>
    </row>
    <row r="34" spans="2:21" x14ac:dyDescent="0.3">
      <c r="B34" t="s">
        <v>262</v>
      </c>
      <c r="C34" s="3">
        <v>20</v>
      </c>
      <c r="D34" s="3">
        <v>0</v>
      </c>
      <c r="E34" s="3">
        <v>0</v>
      </c>
      <c r="F34" s="3">
        <v>40</v>
      </c>
      <c r="G34" s="3">
        <v>40</v>
      </c>
      <c r="H34" s="3">
        <v>80</v>
      </c>
      <c r="I34" s="3">
        <v>60</v>
      </c>
      <c r="J34" s="3">
        <v>40</v>
      </c>
      <c r="K34" s="3">
        <v>0</v>
      </c>
      <c r="L34" s="3">
        <v>20</v>
      </c>
      <c r="M34" s="3">
        <v>0</v>
      </c>
      <c r="N34" s="3">
        <v>20</v>
      </c>
      <c r="O34" s="3">
        <v>0</v>
      </c>
      <c r="P34" s="3">
        <v>0</v>
      </c>
      <c r="Q34" s="3"/>
      <c r="R34" s="3">
        <v>40</v>
      </c>
      <c r="S34" s="3">
        <v>40</v>
      </c>
      <c r="T34" s="3">
        <v>40</v>
      </c>
      <c r="U34" s="3">
        <v>0</v>
      </c>
    </row>
    <row r="35" spans="2:21" x14ac:dyDescent="0.3">
      <c r="B35" t="s">
        <v>263</v>
      </c>
      <c r="C35" s="3">
        <v>20</v>
      </c>
      <c r="D35" s="3">
        <v>20</v>
      </c>
      <c r="E35" s="3">
        <v>0</v>
      </c>
      <c r="F35" s="3">
        <v>40</v>
      </c>
      <c r="G35" s="3">
        <v>40</v>
      </c>
      <c r="H35" s="3">
        <v>100</v>
      </c>
      <c r="I35" s="3">
        <v>60</v>
      </c>
      <c r="J35" s="3">
        <v>0</v>
      </c>
      <c r="K35" s="3">
        <v>20</v>
      </c>
      <c r="L35" s="3">
        <v>0</v>
      </c>
      <c r="M35" s="3">
        <v>0</v>
      </c>
      <c r="N35" s="3">
        <v>0</v>
      </c>
      <c r="O35" s="3">
        <v>10</v>
      </c>
      <c r="P35" s="3">
        <v>40</v>
      </c>
      <c r="Q35" s="3"/>
      <c r="R35" s="3">
        <v>20</v>
      </c>
      <c r="S35" s="3">
        <v>60</v>
      </c>
      <c r="T35" s="3">
        <v>60</v>
      </c>
      <c r="U35" s="3">
        <v>60</v>
      </c>
    </row>
    <row r="36" spans="2:21" x14ac:dyDescent="0.3">
      <c r="B36" t="s">
        <v>194</v>
      </c>
      <c r="C36" s="3">
        <v>100</v>
      </c>
      <c r="D36" s="3">
        <v>20</v>
      </c>
      <c r="E36" s="3">
        <v>20</v>
      </c>
      <c r="F36" s="3">
        <v>40</v>
      </c>
      <c r="G36" s="3">
        <v>60</v>
      </c>
      <c r="H36" s="3">
        <v>40</v>
      </c>
      <c r="I36" s="3">
        <v>40</v>
      </c>
      <c r="J36" s="3">
        <v>80</v>
      </c>
      <c r="K36" s="3">
        <v>80</v>
      </c>
      <c r="L36" s="3">
        <v>20</v>
      </c>
      <c r="M36" s="3">
        <v>20</v>
      </c>
      <c r="N36" s="3">
        <v>60</v>
      </c>
      <c r="O36" s="3">
        <v>20</v>
      </c>
      <c r="P36" s="3">
        <v>40</v>
      </c>
      <c r="Q36" s="3"/>
      <c r="R36" s="3">
        <v>40</v>
      </c>
      <c r="S36" s="3">
        <v>40</v>
      </c>
      <c r="T36" s="3">
        <v>80</v>
      </c>
      <c r="U36" s="3">
        <v>40</v>
      </c>
    </row>
    <row r="37" spans="2:21" x14ac:dyDescent="0.3">
      <c r="B37" t="s">
        <v>264</v>
      </c>
      <c r="C37" s="3">
        <v>40</v>
      </c>
      <c r="D37" s="3">
        <v>20</v>
      </c>
      <c r="E37" s="3">
        <v>0</v>
      </c>
      <c r="F37" s="3">
        <v>40</v>
      </c>
      <c r="G37" s="3">
        <v>80</v>
      </c>
      <c r="H37" s="3">
        <v>100</v>
      </c>
      <c r="I37" s="3">
        <v>60</v>
      </c>
      <c r="J37" s="3">
        <v>20</v>
      </c>
      <c r="K37" s="3">
        <v>0</v>
      </c>
      <c r="L37" s="3">
        <v>20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40</v>
      </c>
      <c r="S37" s="3">
        <v>40</v>
      </c>
      <c r="T37" s="3">
        <v>40</v>
      </c>
      <c r="U37" s="3">
        <v>40</v>
      </c>
    </row>
    <row r="38" spans="2:21" x14ac:dyDescent="0.3">
      <c r="B38" t="s">
        <v>265</v>
      </c>
      <c r="C38" s="3">
        <v>100</v>
      </c>
      <c r="D38" s="3">
        <v>60</v>
      </c>
      <c r="E38" s="3">
        <v>60</v>
      </c>
      <c r="F38" s="3">
        <v>0</v>
      </c>
      <c r="G38" s="3">
        <v>60</v>
      </c>
      <c r="H38" s="3">
        <v>60</v>
      </c>
      <c r="I38" s="3">
        <v>40</v>
      </c>
      <c r="J38" s="3">
        <v>0</v>
      </c>
      <c r="K38" s="3">
        <v>0</v>
      </c>
      <c r="L38" s="3">
        <v>40</v>
      </c>
      <c r="M38" s="3">
        <v>20</v>
      </c>
      <c r="N38" s="3">
        <v>0</v>
      </c>
      <c r="O38" s="3">
        <v>40</v>
      </c>
      <c r="P38" s="3">
        <v>0</v>
      </c>
      <c r="Q38" s="3">
        <v>0</v>
      </c>
      <c r="R38" s="3">
        <v>0</v>
      </c>
      <c r="S38" s="3">
        <v>40</v>
      </c>
      <c r="T38" s="3">
        <v>40</v>
      </c>
      <c r="U38" s="3">
        <v>20</v>
      </c>
    </row>
    <row r="39" spans="2:21" x14ac:dyDescent="0.3">
      <c r="B39" t="s">
        <v>196</v>
      </c>
      <c r="C39" s="3">
        <v>80</v>
      </c>
      <c r="D39" s="3">
        <v>80</v>
      </c>
      <c r="E39" s="3">
        <v>40</v>
      </c>
      <c r="F39" s="3">
        <v>60</v>
      </c>
      <c r="G39" s="3">
        <v>80</v>
      </c>
      <c r="H39" s="3">
        <v>60</v>
      </c>
      <c r="I39" s="3">
        <v>20</v>
      </c>
      <c r="J39" s="3">
        <v>60</v>
      </c>
      <c r="K39" s="3">
        <v>0</v>
      </c>
      <c r="L39" s="3">
        <v>0</v>
      </c>
      <c r="M39" s="3">
        <v>20</v>
      </c>
      <c r="N39" s="3">
        <v>0</v>
      </c>
      <c r="O39" s="3">
        <v>60</v>
      </c>
      <c r="P39" s="3">
        <v>20</v>
      </c>
      <c r="Q39" s="3">
        <v>20</v>
      </c>
      <c r="R39" s="3">
        <v>60</v>
      </c>
      <c r="S39" s="3">
        <v>60</v>
      </c>
      <c r="T39" s="3">
        <v>100</v>
      </c>
      <c r="U39" s="3">
        <v>40</v>
      </c>
    </row>
    <row r="40" spans="2:21" x14ac:dyDescent="0.3">
      <c r="C40">
        <f>COUNTIF(C28:H39,"=0")</f>
        <v>6</v>
      </c>
      <c r="I40">
        <f>COUNTIF(I28:Q39,"=0")</f>
        <v>38</v>
      </c>
      <c r="R40">
        <f>COUNTIF(R28:U39,"=0")</f>
        <v>4</v>
      </c>
    </row>
    <row r="41" spans="2:21" x14ac:dyDescent="0.3">
      <c r="C41">
        <f>COUNTIF(C28:C39,"&lt;=40")</f>
        <v>5</v>
      </c>
      <c r="D41">
        <f t="shared" ref="D41:U41" si="1">COUNTIF(D28:D39,"&lt;=40")</f>
        <v>8</v>
      </c>
      <c r="E41">
        <f t="shared" si="1"/>
        <v>8</v>
      </c>
      <c r="F41">
        <f t="shared" si="1"/>
        <v>6</v>
      </c>
      <c r="G41">
        <f t="shared" si="1"/>
        <v>3</v>
      </c>
      <c r="H41">
        <f t="shared" si="1"/>
        <v>3</v>
      </c>
      <c r="I41">
        <f t="shared" si="1"/>
        <v>5</v>
      </c>
      <c r="J41">
        <f t="shared" si="1"/>
        <v>8</v>
      </c>
      <c r="K41">
        <f t="shared" si="1"/>
        <v>9</v>
      </c>
      <c r="L41">
        <f t="shared" si="1"/>
        <v>11</v>
      </c>
      <c r="M41">
        <f t="shared" si="1"/>
        <v>12</v>
      </c>
      <c r="N41">
        <f t="shared" si="1"/>
        <v>11</v>
      </c>
      <c r="O41">
        <f t="shared" si="1"/>
        <v>10</v>
      </c>
      <c r="P41">
        <f t="shared" si="1"/>
        <v>11</v>
      </c>
      <c r="Q41">
        <f t="shared" si="1"/>
        <v>4</v>
      </c>
      <c r="R41">
        <f t="shared" si="1"/>
        <v>8</v>
      </c>
      <c r="S41">
        <f t="shared" si="1"/>
        <v>5</v>
      </c>
      <c r="T41">
        <f t="shared" si="1"/>
        <v>6</v>
      </c>
      <c r="U41">
        <f t="shared" si="1"/>
        <v>8</v>
      </c>
    </row>
    <row r="44" spans="2:21" x14ac:dyDescent="0.3">
      <c r="B44" t="s">
        <v>58</v>
      </c>
      <c r="C44" t="s">
        <v>59</v>
      </c>
      <c r="D44" t="s">
        <v>60</v>
      </c>
      <c r="E44" t="s">
        <v>30</v>
      </c>
      <c r="F44" t="s">
        <v>31</v>
      </c>
      <c r="G44" t="s">
        <v>61</v>
      </c>
      <c r="H44" t="s">
        <v>62</v>
      </c>
      <c r="I44" t="s">
        <v>63</v>
      </c>
    </row>
    <row r="45" spans="2:21" x14ac:dyDescent="0.3">
      <c r="B45" t="s">
        <v>2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</row>
    <row r="46" spans="2:21" x14ac:dyDescent="0.3">
      <c r="B46" t="s">
        <v>3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80</v>
      </c>
      <c r="I46">
        <v>80</v>
      </c>
    </row>
    <row r="47" spans="2:21" x14ac:dyDescent="0.3">
      <c r="B47" t="s">
        <v>4</v>
      </c>
      <c r="C47">
        <v>47.66</v>
      </c>
      <c r="D47">
        <v>48.33</v>
      </c>
      <c r="E47">
        <v>41.67</v>
      </c>
      <c r="F47">
        <v>62.78</v>
      </c>
      <c r="G47">
        <v>37.36</v>
      </c>
      <c r="H47">
        <v>15</v>
      </c>
      <c r="I47">
        <v>20.71</v>
      </c>
    </row>
    <row r="48" spans="2:21" x14ac:dyDescent="0.3">
      <c r="B48" t="s">
        <v>58</v>
      </c>
      <c r="C48" t="s">
        <v>29</v>
      </c>
      <c r="D48" t="s">
        <v>28</v>
      </c>
      <c r="E48" t="s">
        <v>5</v>
      </c>
    </row>
    <row r="49" spans="2:5" x14ac:dyDescent="0.3">
      <c r="B49" t="s">
        <v>2</v>
      </c>
      <c r="C49">
        <v>0</v>
      </c>
      <c r="D49">
        <v>0</v>
      </c>
      <c r="E49">
        <v>0</v>
      </c>
    </row>
    <row r="50" spans="2:5" x14ac:dyDescent="0.3">
      <c r="B50" t="s">
        <v>3</v>
      </c>
      <c r="C50">
        <v>100</v>
      </c>
      <c r="D50">
        <v>100</v>
      </c>
      <c r="E50">
        <v>100</v>
      </c>
    </row>
    <row r="51" spans="2:5" x14ac:dyDescent="0.3">
      <c r="B51" t="s">
        <v>4</v>
      </c>
      <c r="C51">
        <v>48</v>
      </c>
      <c r="D51">
        <v>52.22</v>
      </c>
      <c r="E51">
        <v>24.65</v>
      </c>
    </row>
  </sheetData>
  <conditionalFormatting sqref="C2:U13">
    <cfRule type="cellIs" dxfId="15" priority="3" operator="equal">
      <formula>0</formula>
    </cfRule>
  </conditionalFormatting>
  <conditionalFormatting sqref="C28:U39">
    <cfRule type="cellIs" dxfId="14" priority="1" operator="equal">
      <formula>0</formula>
    </cfRule>
    <cfRule type="cellIs" dxfId="13" priority="2" operator="greaterThanOrEqual">
      <formula>80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4:R131"/>
  <sheetViews>
    <sheetView workbookViewId="0">
      <selection activeCell="E5" sqref="E5:E7"/>
    </sheetView>
  </sheetViews>
  <sheetFormatPr defaultColWidth="11.44140625" defaultRowHeight="14.4" x14ac:dyDescent="0.3"/>
  <sheetData>
    <row r="4" spans="1:8" x14ac:dyDescent="0.3">
      <c r="A4" s="2" t="s">
        <v>345</v>
      </c>
      <c r="B4" s="2" t="s">
        <v>346</v>
      </c>
      <c r="C4" s="2" t="s">
        <v>347</v>
      </c>
      <c r="D4" s="2" t="s">
        <v>348</v>
      </c>
      <c r="E4" s="2" t="s">
        <v>349</v>
      </c>
    </row>
    <row r="5" spans="1:8" x14ac:dyDescent="0.3">
      <c r="A5" t="s">
        <v>339</v>
      </c>
      <c r="B5">
        <v>6</v>
      </c>
      <c r="C5">
        <v>591</v>
      </c>
      <c r="D5">
        <v>55.076744424865097</v>
      </c>
      <c r="E5">
        <v>5.7575765814520806E-54</v>
      </c>
    </row>
    <row r="6" spans="1:8" x14ac:dyDescent="0.3">
      <c r="A6" t="s">
        <v>169</v>
      </c>
      <c r="B6">
        <v>11</v>
      </c>
      <c r="C6">
        <v>591</v>
      </c>
      <c r="D6">
        <v>62.371589138215199</v>
      </c>
      <c r="E6">
        <v>2.10887065927771E-91</v>
      </c>
    </row>
    <row r="7" spans="1:8" x14ac:dyDescent="0.3">
      <c r="A7" t="s">
        <v>411</v>
      </c>
      <c r="B7">
        <v>66</v>
      </c>
      <c r="C7">
        <v>591</v>
      </c>
      <c r="D7">
        <v>22.4628588634829</v>
      </c>
      <c r="E7">
        <v>4.5522747110261799E-122</v>
      </c>
    </row>
    <row r="10" spans="1:8" x14ac:dyDescent="0.3">
      <c r="A10" s="2" t="s">
        <v>339</v>
      </c>
      <c r="B10" s="2" t="s">
        <v>352</v>
      </c>
      <c r="C10" s="2" t="s">
        <v>353</v>
      </c>
      <c r="D10" s="2" t="s">
        <v>354</v>
      </c>
      <c r="E10" s="2" t="s">
        <v>355</v>
      </c>
      <c r="F10" s="2" t="s">
        <v>4</v>
      </c>
      <c r="G10" s="2" t="s">
        <v>356</v>
      </c>
      <c r="H10" s="2" t="s">
        <v>357</v>
      </c>
    </row>
    <row r="11" spans="1:8" x14ac:dyDescent="0.3">
      <c r="A11" t="s">
        <v>358</v>
      </c>
      <c r="B11">
        <v>-2.9907146525438701</v>
      </c>
      <c r="C11">
        <v>747.75835742209802</v>
      </c>
      <c r="D11">
        <v>-3.9995736896266598E-3</v>
      </c>
      <c r="E11">
        <v>0.996808810411281</v>
      </c>
      <c r="F11">
        <v>5.0251511517561499E-2</v>
      </c>
      <c r="G11">
        <v>37.575987710349402</v>
      </c>
      <c r="H11" t="s">
        <v>424</v>
      </c>
    </row>
    <row r="12" spans="1:8" x14ac:dyDescent="0.3">
      <c r="A12" t="s">
        <v>360</v>
      </c>
      <c r="B12">
        <v>-2.3179502080152701</v>
      </c>
      <c r="C12">
        <v>747.75830660890904</v>
      </c>
      <c r="D12">
        <v>-3.0998655414838502E-3</v>
      </c>
      <c r="E12">
        <v>0.99752666910499399</v>
      </c>
      <c r="F12">
        <v>9.8475232609046795E-2</v>
      </c>
      <c r="G12">
        <v>73.635673178659204</v>
      </c>
      <c r="H12" t="s">
        <v>424</v>
      </c>
    </row>
    <row r="13" spans="1:8" x14ac:dyDescent="0.3">
      <c r="A13" t="s">
        <v>362</v>
      </c>
      <c r="B13">
        <v>0.73517650513075605</v>
      </c>
      <c r="C13">
        <v>0.19009043482978499</v>
      </c>
      <c r="D13">
        <v>3.8675091978671299</v>
      </c>
      <c r="E13">
        <v>1.09952682544715E-4</v>
      </c>
      <c r="F13">
        <v>2.0858501232643301</v>
      </c>
      <c r="G13">
        <v>0.39650015692107798</v>
      </c>
      <c r="H13" t="s">
        <v>424</v>
      </c>
    </row>
    <row r="14" spans="1:8" x14ac:dyDescent="0.3">
      <c r="A14" t="s">
        <v>364</v>
      </c>
      <c r="B14">
        <v>0.51905652064426799</v>
      </c>
      <c r="C14">
        <v>0.13871869587483401</v>
      </c>
      <c r="D14">
        <v>3.74179210214472</v>
      </c>
      <c r="E14">
        <v>1.8271264193725899E-4</v>
      </c>
      <c r="F14">
        <v>1.68044143973147</v>
      </c>
      <c r="G14">
        <v>0.233108645013577</v>
      </c>
      <c r="H14" t="s">
        <v>424</v>
      </c>
    </row>
    <row r="15" spans="1:8" x14ac:dyDescent="0.3">
      <c r="A15" t="s">
        <v>366</v>
      </c>
      <c r="B15">
        <v>-4.2450593468901703</v>
      </c>
      <c r="C15">
        <v>629.33243696733803</v>
      </c>
      <c r="D15">
        <v>-6.7453369595034604E-3</v>
      </c>
      <c r="E15">
        <v>0.99461804059543701</v>
      </c>
      <c r="F15">
        <v>1.43348829230445E-2</v>
      </c>
      <c r="G15">
        <v>9.0214068036010708</v>
      </c>
      <c r="H15" t="s">
        <v>424</v>
      </c>
    </row>
    <row r="16" spans="1:8" x14ac:dyDescent="0.3">
      <c r="A16" t="s">
        <v>368</v>
      </c>
      <c r="B16">
        <v>-8.1862130178292798</v>
      </c>
      <c r="C16">
        <v>863.43699104152495</v>
      </c>
      <c r="D16">
        <v>-9.4809616715107597E-3</v>
      </c>
      <c r="E16">
        <v>0.99243540038949596</v>
      </c>
      <c r="F16">
        <v>2.7846643741630202E-4</v>
      </c>
      <c r="G16">
        <v>0.24043822282878499</v>
      </c>
      <c r="H16" t="s">
        <v>424</v>
      </c>
    </row>
    <row r="17" spans="1:18" x14ac:dyDescent="0.3">
      <c r="A17" t="s">
        <v>370</v>
      </c>
      <c r="B17">
        <v>-6.7411937092926104</v>
      </c>
      <c r="C17">
        <v>747.75840729589095</v>
      </c>
      <c r="D17">
        <v>-9.0152028295752695E-3</v>
      </c>
      <c r="E17">
        <v>0.99280700628366103</v>
      </c>
      <c r="F17">
        <v>1.1812362619813899E-3</v>
      </c>
      <c r="G17">
        <v>0.88327934589935797</v>
      </c>
      <c r="H17" t="s">
        <v>424</v>
      </c>
    </row>
    <row r="20" spans="1:18" x14ac:dyDescent="0.3">
      <c r="A20" s="2" t="s">
        <v>169</v>
      </c>
      <c r="B20" s="2" t="s">
        <v>352</v>
      </c>
      <c r="C20" s="2" t="s">
        <v>353</v>
      </c>
      <c r="D20" s="2" t="s">
        <v>354</v>
      </c>
      <c r="E20" s="2" t="s">
        <v>355</v>
      </c>
      <c r="F20" s="2" t="s">
        <v>4</v>
      </c>
      <c r="G20" s="2" t="s">
        <v>356</v>
      </c>
      <c r="J20" s="2" t="s">
        <v>339</v>
      </c>
      <c r="K20" s="2" t="s">
        <v>169</v>
      </c>
      <c r="L20" s="2" t="s">
        <v>352</v>
      </c>
      <c r="M20" s="2" t="s">
        <v>353</v>
      </c>
      <c r="N20" s="2" t="s">
        <v>354</v>
      </c>
      <c r="O20" s="2" t="s">
        <v>355</v>
      </c>
      <c r="P20" s="2" t="s">
        <v>4</v>
      </c>
      <c r="Q20" s="2" t="s">
        <v>356</v>
      </c>
      <c r="R20" s="2" t="s">
        <v>357</v>
      </c>
    </row>
    <row r="21" spans="1:18" x14ac:dyDescent="0.3">
      <c r="A21" t="s">
        <v>412</v>
      </c>
      <c r="B21">
        <v>-6.1761541341604396</v>
      </c>
      <c r="C21">
        <v>1046.64355391394</v>
      </c>
      <c r="D21">
        <v>-5.9009145100684997E-3</v>
      </c>
      <c r="E21">
        <v>0.99529177874181396</v>
      </c>
      <c r="F21">
        <v>2.0784057735693902E-3</v>
      </c>
      <c r="G21">
        <v>2.1753500053239301</v>
      </c>
      <c r="J21" t="s">
        <v>358</v>
      </c>
      <c r="K21" t="s">
        <v>412</v>
      </c>
      <c r="L21">
        <v>0.324202144029416</v>
      </c>
      <c r="M21">
        <v>0.49641071555158101</v>
      </c>
      <c r="N21">
        <v>0.65309255798232102</v>
      </c>
      <c r="O21">
        <v>0.51369660972064901</v>
      </c>
      <c r="P21">
        <v>1.3829268292683199</v>
      </c>
      <c r="Q21">
        <v>0.68649969687256496</v>
      </c>
      <c r="R21" t="s">
        <v>425</v>
      </c>
    </row>
    <row r="22" spans="1:18" x14ac:dyDescent="0.3">
      <c r="A22" t="s">
        <v>413</v>
      </c>
      <c r="B22">
        <v>-0.83680904161494096</v>
      </c>
      <c r="C22">
        <v>0.608065264929884</v>
      </c>
      <c r="D22">
        <v>-1.3761829360725499</v>
      </c>
      <c r="E22">
        <v>0.168765003682917</v>
      </c>
      <c r="F22">
        <v>0.43309029396815901</v>
      </c>
      <c r="G22">
        <v>0.26334716434031002</v>
      </c>
      <c r="J22" t="s">
        <v>360</v>
      </c>
      <c r="K22" t="s">
        <v>412</v>
      </c>
      <c r="L22">
        <v>2.70511908029333</v>
      </c>
      <c r="M22">
        <v>0.23432623234967201</v>
      </c>
      <c r="N22">
        <v>11.5442434812703</v>
      </c>
      <c r="O22">
        <v>7.8932902384267904E-31</v>
      </c>
      <c r="P22">
        <v>14.9560975609752</v>
      </c>
      <c r="Q22">
        <v>3.5046059921174399</v>
      </c>
      <c r="R22" t="s">
        <v>426</v>
      </c>
    </row>
    <row r="23" spans="1:18" x14ac:dyDescent="0.3">
      <c r="A23" t="s">
        <v>414</v>
      </c>
      <c r="B23">
        <v>-4.3658794444914504</v>
      </c>
      <c r="C23">
        <v>740.088937581854</v>
      </c>
      <c r="D23">
        <v>-5.8991280950049197E-3</v>
      </c>
      <c r="E23">
        <v>0.99529320407000399</v>
      </c>
      <c r="F23">
        <v>1.2703478257254999E-2</v>
      </c>
      <c r="G23">
        <v>9.4017037270060193</v>
      </c>
      <c r="J23" t="s">
        <v>362</v>
      </c>
      <c r="K23" t="s">
        <v>412</v>
      </c>
      <c r="L23">
        <v>-2.1972245773363199</v>
      </c>
      <c r="M23">
        <v>1.01448346668636</v>
      </c>
      <c r="N23">
        <v>-2.1658554816208002</v>
      </c>
      <c r="O23">
        <v>3.0322232115527901E-2</v>
      </c>
      <c r="P23">
        <v>0.1111111111111</v>
      </c>
      <c r="Q23">
        <v>0.11272038518736199</v>
      </c>
      <c r="R23" t="s">
        <v>427</v>
      </c>
    </row>
    <row r="24" spans="1:18" x14ac:dyDescent="0.3">
      <c r="A24" t="s">
        <v>415</v>
      </c>
      <c r="B24">
        <v>-9.8931897303242593</v>
      </c>
      <c r="C24">
        <v>1480.17759063467</v>
      </c>
      <c r="D24">
        <v>-6.6837856436417703E-3</v>
      </c>
      <c r="E24">
        <v>0.99466715033297604</v>
      </c>
      <c r="F24">
        <v>5.0517551362911298E-5</v>
      </c>
      <c r="G24">
        <v>7.4774947461117097E-2</v>
      </c>
      <c r="J24" t="s">
        <v>364</v>
      </c>
      <c r="K24" t="s">
        <v>412</v>
      </c>
      <c r="L24">
        <v>-1.9740810260221</v>
      </c>
      <c r="M24">
        <v>0.91059140352854995</v>
      </c>
      <c r="N24">
        <v>-2.1679108965585598</v>
      </c>
      <c r="O24">
        <v>3.0165466633585301E-2</v>
      </c>
      <c r="P24">
        <v>0.13888888888887599</v>
      </c>
      <c r="Q24">
        <v>0.12647102826784301</v>
      </c>
      <c r="R24" t="s">
        <v>428</v>
      </c>
    </row>
    <row r="25" spans="1:18" x14ac:dyDescent="0.3">
      <c r="A25" t="s">
        <v>416</v>
      </c>
      <c r="B25">
        <v>-10.0944739863507</v>
      </c>
      <c r="C25">
        <v>1308.30451352605</v>
      </c>
      <c r="D25">
        <v>-7.7156914785417897E-3</v>
      </c>
      <c r="E25">
        <v>0.99384382997482501</v>
      </c>
      <c r="F25">
        <v>4.13071897847555E-5</v>
      </c>
      <c r="G25">
        <v>5.4042382836472697E-2</v>
      </c>
      <c r="J25" t="s">
        <v>366</v>
      </c>
      <c r="K25" t="s">
        <v>412</v>
      </c>
      <c r="L25">
        <v>-1.48592420206875</v>
      </c>
      <c r="M25">
        <v>0.76498676105111896</v>
      </c>
      <c r="N25">
        <v>-1.94241819299858</v>
      </c>
      <c r="O25">
        <v>5.2086494625103799E-2</v>
      </c>
      <c r="P25">
        <v>0.226293103448272</v>
      </c>
      <c r="Q25">
        <v>0.173111228255099</v>
      </c>
      <c r="R25" t="s">
        <v>429</v>
      </c>
    </row>
    <row r="26" spans="1:18" x14ac:dyDescent="0.3">
      <c r="A26" t="s">
        <v>417</v>
      </c>
      <c r="B26">
        <v>-12.195309012363801</v>
      </c>
      <c r="C26">
        <v>1654.88879809073</v>
      </c>
      <c r="D26">
        <v>-7.36926192650146E-3</v>
      </c>
      <c r="E26">
        <v>0.994120232902173</v>
      </c>
      <c r="F26">
        <v>5.0541088473227103E-6</v>
      </c>
      <c r="G26">
        <v>8.3639881157656099E-3</v>
      </c>
      <c r="J26" t="s">
        <v>368</v>
      </c>
      <c r="K26" t="s">
        <v>412</v>
      </c>
      <c r="L26">
        <v>-20.3025853507033</v>
      </c>
      <c r="M26">
        <v>5180.6212109887201</v>
      </c>
      <c r="N26">
        <v>-3.9189480419141798E-3</v>
      </c>
      <c r="O26">
        <v>0.99687313986657</v>
      </c>
      <c r="P26">
        <v>1.5229975819806699E-9</v>
      </c>
      <c r="Q26">
        <v>7.8900735774936095E-6</v>
      </c>
      <c r="R26" t="s">
        <v>430</v>
      </c>
    </row>
    <row r="27" spans="1:18" x14ac:dyDescent="0.3">
      <c r="A27" t="s">
        <v>418</v>
      </c>
      <c r="B27">
        <v>-1.81087530310756</v>
      </c>
      <c r="C27">
        <v>0.80327810289039003</v>
      </c>
      <c r="D27">
        <v>-2.25435661272427</v>
      </c>
      <c r="E27">
        <v>2.41737424655264E-2</v>
      </c>
      <c r="F27">
        <v>0.16351095250216899</v>
      </c>
      <c r="G27">
        <v>0.13134476772774301</v>
      </c>
      <c r="J27" t="s">
        <v>370</v>
      </c>
      <c r="K27" t="s">
        <v>412</v>
      </c>
      <c r="L27">
        <v>-20.3025850073154</v>
      </c>
      <c r="M27">
        <v>5180.6210865005596</v>
      </c>
      <c r="N27">
        <v>-3.9189480698017098E-3</v>
      </c>
      <c r="O27">
        <v>0.99687313984431902</v>
      </c>
      <c r="P27">
        <v>1.52299810495969E-9</v>
      </c>
      <c r="Q27">
        <v>7.8900760972545496E-6</v>
      </c>
      <c r="R27" t="s">
        <v>430</v>
      </c>
    </row>
    <row r="28" spans="1:18" x14ac:dyDescent="0.3">
      <c r="A28" t="s">
        <v>419</v>
      </c>
      <c r="B28">
        <v>0.39029751649664102</v>
      </c>
      <c r="C28">
        <v>0.17193417341894901</v>
      </c>
      <c r="D28">
        <v>2.2700403807776501</v>
      </c>
      <c r="E28">
        <v>2.32051330960855E-2</v>
      </c>
      <c r="F28">
        <v>1.4774202854087899</v>
      </c>
      <c r="G28">
        <v>0.25401903556414901</v>
      </c>
      <c r="J28" t="s">
        <v>358</v>
      </c>
      <c r="K28" t="s">
        <v>413</v>
      </c>
      <c r="L28">
        <v>3.6382876679979499</v>
      </c>
      <c r="M28">
        <v>0.24036957911666501</v>
      </c>
      <c r="N28">
        <v>15.1362234828896</v>
      </c>
      <c r="O28">
        <v>9.3426867547429507E-52</v>
      </c>
      <c r="P28">
        <v>38.0266666666693</v>
      </c>
      <c r="Q28">
        <v>9.1404538618770097</v>
      </c>
      <c r="R28" t="s">
        <v>431</v>
      </c>
    </row>
    <row r="29" spans="1:18" x14ac:dyDescent="0.3">
      <c r="A29" t="s">
        <v>420</v>
      </c>
      <c r="B29">
        <v>2.4784071526923301</v>
      </c>
      <c r="C29">
        <v>8.4750355219221293E-2</v>
      </c>
      <c r="D29">
        <v>29.243619643616899</v>
      </c>
      <c r="E29">
        <v>5.4126231662009399E-188</v>
      </c>
      <c r="F29">
        <v>11.9222589473955</v>
      </c>
      <c r="G29">
        <v>1.0104156808073099</v>
      </c>
      <c r="J29" t="s">
        <v>360</v>
      </c>
      <c r="K29" t="s">
        <v>413</v>
      </c>
      <c r="L29">
        <v>4.2735749264463703</v>
      </c>
      <c r="M29">
        <v>0.21467891767518699</v>
      </c>
      <c r="N29">
        <v>19.906821651264199</v>
      </c>
      <c r="O29">
        <v>3.5514376743613902E-88</v>
      </c>
      <c r="P29">
        <v>71.777777777776606</v>
      </c>
      <c r="Q29">
        <v>15.409175646463099</v>
      </c>
      <c r="R29" t="s">
        <v>432</v>
      </c>
    </row>
    <row r="30" spans="1:18" x14ac:dyDescent="0.3">
      <c r="A30" t="s">
        <v>421</v>
      </c>
      <c r="B30">
        <v>0.99758228967506002</v>
      </c>
      <c r="C30">
        <v>0.130265695163094</v>
      </c>
      <c r="D30">
        <v>7.6580583124826402</v>
      </c>
      <c r="E30">
        <v>1.8876518093130801E-14</v>
      </c>
      <c r="F30">
        <v>2.7117177486354902</v>
      </c>
      <c r="G30">
        <v>0.35324379761210201</v>
      </c>
      <c r="J30" t="s">
        <v>362</v>
      </c>
      <c r="K30" t="s">
        <v>413</v>
      </c>
      <c r="L30">
        <v>-3.08452777233714</v>
      </c>
      <c r="M30">
        <v>1.56772068071819</v>
      </c>
      <c r="N30">
        <v>-1.9675238135686799</v>
      </c>
      <c r="O30">
        <v>4.9122853300945797E-2</v>
      </c>
      <c r="P30">
        <v>4.5751633986927297E-2</v>
      </c>
      <c r="Q30">
        <v>7.1725782777954994E-2</v>
      </c>
      <c r="R30" t="s">
        <v>433</v>
      </c>
    </row>
    <row r="31" spans="1:18" x14ac:dyDescent="0.3">
      <c r="A31" t="s">
        <v>422</v>
      </c>
      <c r="B31">
        <v>0.50866006954433995</v>
      </c>
      <c r="C31">
        <v>0.45577192928613403</v>
      </c>
      <c r="D31">
        <v>1.11604080212014</v>
      </c>
      <c r="E31">
        <v>0.26440466972770699</v>
      </c>
      <c r="F31">
        <v>1.6630613148319999</v>
      </c>
      <c r="G31">
        <v>0.75797666398211605</v>
      </c>
      <c r="J31" t="s">
        <v>364</v>
      </c>
      <c r="K31" t="s">
        <v>413</v>
      </c>
      <c r="L31">
        <v>-0.96141116715462505</v>
      </c>
      <c r="M31">
        <v>0.64120143402888596</v>
      </c>
      <c r="N31">
        <v>-1.4993902323545201</v>
      </c>
      <c r="O31">
        <v>0.13377242606384801</v>
      </c>
      <c r="P31">
        <v>0.38235294117647001</v>
      </c>
      <c r="Q31">
        <v>0.245165254187515</v>
      </c>
      <c r="R31" t="s">
        <v>429</v>
      </c>
    </row>
    <row r="32" spans="1:18" x14ac:dyDescent="0.3">
      <c r="A32" t="s">
        <v>423</v>
      </c>
      <c r="B32">
        <v>1.1802043517827501</v>
      </c>
      <c r="C32">
        <v>0.137806340054203</v>
      </c>
      <c r="D32">
        <v>8.5642239052176095</v>
      </c>
      <c r="E32">
        <v>1.08806220026885E-17</v>
      </c>
      <c r="F32">
        <v>3.2550393080151698</v>
      </c>
      <c r="G32">
        <v>0.448565053770136</v>
      </c>
      <c r="J32" t="s">
        <v>366</v>
      </c>
      <c r="K32" t="s">
        <v>413</v>
      </c>
      <c r="L32">
        <v>-1.47508985990304</v>
      </c>
      <c r="M32">
        <v>0.71755904976127505</v>
      </c>
      <c r="N32">
        <v>-2.0557051860662798</v>
      </c>
      <c r="O32">
        <v>3.9810941744949202E-2</v>
      </c>
      <c r="P32">
        <v>0.22875816993463599</v>
      </c>
      <c r="Q32">
        <v>0.16414749504342599</v>
      </c>
      <c r="R32" t="s">
        <v>434</v>
      </c>
    </row>
    <row r="33" spans="1:18" x14ac:dyDescent="0.3">
      <c r="J33" t="s">
        <v>368</v>
      </c>
      <c r="K33" t="s">
        <v>413</v>
      </c>
      <c r="L33">
        <v>-3.7776749528971099</v>
      </c>
      <c r="M33">
        <v>2.2105021064891099</v>
      </c>
      <c r="N33">
        <v>-1.7089669092861</v>
      </c>
      <c r="O33">
        <v>8.7457079199565302E-2</v>
      </c>
      <c r="P33">
        <v>2.2875816993463E-2</v>
      </c>
      <c r="Q33">
        <v>5.0567041651709298E-2</v>
      </c>
      <c r="R33" t="s">
        <v>430</v>
      </c>
    </row>
    <row r="34" spans="1:18" x14ac:dyDescent="0.3">
      <c r="J34" t="s">
        <v>370</v>
      </c>
      <c r="K34" t="s">
        <v>413</v>
      </c>
      <c r="L34">
        <v>-4.4708221334569798</v>
      </c>
      <c r="M34">
        <v>3.12145197200749</v>
      </c>
      <c r="N34">
        <v>-1.4322892594697501</v>
      </c>
      <c r="O34">
        <v>0.15206105562459701</v>
      </c>
      <c r="P34">
        <v>1.14379084967324E-2</v>
      </c>
      <c r="Q34">
        <v>3.5702882032766399E-2</v>
      </c>
      <c r="R34" t="s">
        <v>430</v>
      </c>
    </row>
    <row r="35" spans="1:18" x14ac:dyDescent="0.3">
      <c r="J35" t="s">
        <v>358</v>
      </c>
      <c r="K35" t="s">
        <v>414</v>
      </c>
      <c r="L35">
        <v>-1.0622446444970901</v>
      </c>
      <c r="M35">
        <v>0.72519508645117803</v>
      </c>
      <c r="N35">
        <v>-1.4647708793716501</v>
      </c>
      <c r="O35">
        <v>0.142983439385891</v>
      </c>
      <c r="P35">
        <v>0.34567901234572801</v>
      </c>
      <c r="Q35">
        <v>0.25068472124241797</v>
      </c>
      <c r="R35" t="s">
        <v>435</v>
      </c>
    </row>
    <row r="36" spans="1:18" x14ac:dyDescent="0.3">
      <c r="J36" t="s">
        <v>360</v>
      </c>
      <c r="K36" t="s">
        <v>414</v>
      </c>
      <c r="L36">
        <v>-0.36909746393729898</v>
      </c>
      <c r="M36">
        <v>0.53370074465140505</v>
      </c>
      <c r="N36">
        <v>-0.69158131712628801</v>
      </c>
      <c r="O36">
        <v>0.48920029775378998</v>
      </c>
      <c r="P36">
        <v>0.69135802469135099</v>
      </c>
      <c r="Q36">
        <v>0.36897829259849901</v>
      </c>
      <c r="R36" t="s">
        <v>428</v>
      </c>
    </row>
    <row r="37" spans="1:18" x14ac:dyDescent="0.3">
      <c r="A37" s="2" t="s">
        <v>339</v>
      </c>
      <c r="B37" s="2" t="s">
        <v>352</v>
      </c>
      <c r="C37" s="2" t="s">
        <v>357</v>
      </c>
      <c r="J37" t="s">
        <v>362</v>
      </c>
      <c r="K37" t="s">
        <v>414</v>
      </c>
      <c r="L37">
        <v>-0.72823850037123805</v>
      </c>
      <c r="M37">
        <v>0.50924987416665202</v>
      </c>
      <c r="N37">
        <v>-1.4300219544736099</v>
      </c>
      <c r="O37">
        <v>0.15271071803865299</v>
      </c>
      <c r="P37">
        <v>0.48275862068964398</v>
      </c>
      <c r="Q37">
        <v>0.245844766839068</v>
      </c>
      <c r="R37" t="s">
        <v>436</v>
      </c>
    </row>
    <row r="38" spans="1:18" x14ac:dyDescent="0.3">
      <c r="A38" t="s">
        <v>362</v>
      </c>
      <c r="B38">
        <v>0.73517650513075605</v>
      </c>
      <c r="C38" t="s">
        <v>424</v>
      </c>
      <c r="J38" t="s">
        <v>364</v>
      </c>
      <c r="K38" t="s">
        <v>414</v>
      </c>
      <c r="L38">
        <v>-0.16862271243580401</v>
      </c>
      <c r="M38">
        <v>0.40086902918091399</v>
      </c>
      <c r="N38">
        <v>-0.42064290369437402</v>
      </c>
      <c r="O38">
        <v>0.674015859688194</v>
      </c>
      <c r="P38">
        <v>0.84482758620688703</v>
      </c>
      <c r="Q38">
        <v>0.338665214308009</v>
      </c>
      <c r="R38" t="s">
        <v>434</v>
      </c>
    </row>
    <row r="39" spans="1:18" x14ac:dyDescent="0.3">
      <c r="A39" t="s">
        <v>364</v>
      </c>
      <c r="B39">
        <v>0.51905652064426799</v>
      </c>
      <c r="C39" t="s">
        <v>424</v>
      </c>
      <c r="J39" t="s">
        <v>366</v>
      </c>
      <c r="K39" t="s">
        <v>414</v>
      </c>
      <c r="L39">
        <v>-3.6186102582673598</v>
      </c>
      <c r="M39">
        <v>2.0425557145490698</v>
      </c>
      <c r="N39">
        <v>-1.7716090839001799</v>
      </c>
      <c r="O39">
        <v>7.6459470745469105E-2</v>
      </c>
      <c r="P39">
        <v>2.6819923371647899E-2</v>
      </c>
      <c r="Q39">
        <v>5.4781187746527703E-2</v>
      </c>
      <c r="R39" t="s">
        <v>430</v>
      </c>
    </row>
    <row r="40" spans="1:18" x14ac:dyDescent="0.3">
      <c r="A40" t="s">
        <v>360</v>
      </c>
      <c r="B40">
        <v>-2.3179502080152701</v>
      </c>
      <c r="C40" t="s">
        <v>424</v>
      </c>
      <c r="J40" t="s">
        <v>368</v>
      </c>
      <c r="K40" t="s">
        <v>414</v>
      </c>
      <c r="L40">
        <v>-20.302585093104099</v>
      </c>
      <c r="M40">
        <v>5180.6212391295503</v>
      </c>
      <c r="N40">
        <v>-3.9189479709030696E-3</v>
      </c>
      <c r="O40">
        <v>0.99687313992322801</v>
      </c>
      <c r="P40">
        <v>1.5229979743036901E-9</v>
      </c>
      <c r="Q40">
        <v>7.8900756528289694E-6</v>
      </c>
      <c r="R40" t="s">
        <v>430</v>
      </c>
    </row>
    <row r="41" spans="1:18" x14ac:dyDescent="0.3">
      <c r="A41" t="s">
        <v>358</v>
      </c>
      <c r="B41">
        <v>-2.9907146525438701</v>
      </c>
      <c r="C41" t="s">
        <v>424</v>
      </c>
      <c r="J41" t="s">
        <v>370</v>
      </c>
      <c r="K41" t="s">
        <v>414</v>
      </c>
      <c r="L41">
        <v>-4.3117574388272999</v>
      </c>
      <c r="M41">
        <v>2.8835552694367399</v>
      </c>
      <c r="N41">
        <v>-1.49529210850519</v>
      </c>
      <c r="O41">
        <v>0.13483822372606299</v>
      </c>
      <c r="P41">
        <v>1.34099616858241E-2</v>
      </c>
      <c r="Q41">
        <v>3.8668365682102697E-2</v>
      </c>
      <c r="R41" t="s">
        <v>430</v>
      </c>
    </row>
    <row r="42" spans="1:18" x14ac:dyDescent="0.3">
      <c r="A42" t="s">
        <v>366</v>
      </c>
      <c r="B42">
        <v>-4.2450593468901703</v>
      </c>
      <c r="C42" t="s">
        <v>424</v>
      </c>
      <c r="J42" t="s">
        <v>358</v>
      </c>
      <c r="K42" t="s">
        <v>415</v>
      </c>
      <c r="L42">
        <v>-20.302585104842102</v>
      </c>
      <c r="M42">
        <v>6344.9392224194798</v>
      </c>
      <c r="N42">
        <v>-3.1998076566445402E-3</v>
      </c>
      <c r="O42">
        <v>0.99744692722994599</v>
      </c>
      <c r="P42">
        <v>1.5229979564267101E-9</v>
      </c>
      <c r="Q42">
        <v>9.6633294693965592E-6</v>
      </c>
      <c r="R42" t="s">
        <v>430</v>
      </c>
    </row>
    <row r="43" spans="1:18" x14ac:dyDescent="0.3">
      <c r="A43" t="s">
        <v>370</v>
      </c>
      <c r="B43">
        <v>-6.7411937092926104</v>
      </c>
      <c r="C43" t="s">
        <v>424</v>
      </c>
      <c r="J43" t="s">
        <v>360</v>
      </c>
      <c r="K43" t="s">
        <v>415</v>
      </c>
      <c r="L43">
        <v>-20.302585092942799</v>
      </c>
      <c r="M43">
        <v>6344.93929313841</v>
      </c>
      <c r="N43">
        <v>-3.1998076191049802E-3</v>
      </c>
      <c r="O43">
        <v>0.99744692725989803</v>
      </c>
      <c r="P43">
        <v>1.5229979745492399E-9</v>
      </c>
      <c r="Q43">
        <v>9.6633296920876993E-6</v>
      </c>
      <c r="R43" t="s">
        <v>430</v>
      </c>
    </row>
    <row r="44" spans="1:18" x14ac:dyDescent="0.3">
      <c r="A44" t="s">
        <v>368</v>
      </c>
      <c r="B44">
        <v>-8.1862130178292798</v>
      </c>
      <c r="C44" t="s">
        <v>424</v>
      </c>
      <c r="J44" t="s">
        <v>362</v>
      </c>
      <c r="K44" t="s">
        <v>415</v>
      </c>
      <c r="L44">
        <v>-8.4260343617827499E-2</v>
      </c>
      <c r="M44">
        <v>0.38737039859842298</v>
      </c>
      <c r="N44">
        <v>-0.21751879834571</v>
      </c>
      <c r="O44">
        <v>0.82780405872549301</v>
      </c>
      <c r="P44">
        <v>0.91919191919183896</v>
      </c>
      <c r="Q44">
        <v>0.35606774012579201</v>
      </c>
      <c r="R44" t="s">
        <v>434</v>
      </c>
    </row>
    <row r="45" spans="1:18" x14ac:dyDescent="0.3">
      <c r="J45" t="s">
        <v>364</v>
      </c>
      <c r="K45" t="s">
        <v>415</v>
      </c>
      <c r="L45">
        <v>-7.1521317840291102E-2</v>
      </c>
      <c r="M45">
        <v>0.38539030225467202</v>
      </c>
      <c r="N45">
        <v>-0.185581519363268</v>
      </c>
      <c r="O45">
        <v>0.85277294720937602</v>
      </c>
      <c r="P45">
        <v>0.930976430976449</v>
      </c>
      <c r="Q45">
        <v>0.35878928812598898</v>
      </c>
      <c r="R45" t="s">
        <v>434</v>
      </c>
    </row>
    <row r="46" spans="1:18" x14ac:dyDescent="0.3">
      <c r="J46" t="s">
        <v>366</v>
      </c>
      <c r="K46" t="s">
        <v>415</v>
      </c>
      <c r="L46">
        <v>-3.7478219897473402</v>
      </c>
      <c r="M46">
        <v>2.1779491301564899</v>
      </c>
      <c r="N46">
        <v>-1.7208032721489901</v>
      </c>
      <c r="O46">
        <v>8.5286528462499497E-2</v>
      </c>
      <c r="P46">
        <v>2.35690235690246E-2</v>
      </c>
      <c r="Q46">
        <v>5.1332134380794897E-2</v>
      </c>
      <c r="R46" t="s">
        <v>430</v>
      </c>
    </row>
    <row r="47" spans="1:18" x14ac:dyDescent="0.3">
      <c r="A47" s="2" t="s">
        <v>339</v>
      </c>
      <c r="B47" s="2" t="s">
        <v>169</v>
      </c>
      <c r="C47" s="2" t="s">
        <v>352</v>
      </c>
      <c r="D47" s="2" t="s">
        <v>357</v>
      </c>
      <c r="J47" t="s">
        <v>368</v>
      </c>
      <c r="K47" t="s">
        <v>415</v>
      </c>
      <c r="L47">
        <v>-4.4409691703074401</v>
      </c>
      <c r="M47">
        <v>3.07534520985307</v>
      </c>
      <c r="N47">
        <v>-1.44405550182759</v>
      </c>
      <c r="O47">
        <v>0.148723363704659</v>
      </c>
      <c r="P47">
        <v>1.1784511784510499E-2</v>
      </c>
      <c r="Q47">
        <v>3.6241441866951198E-2</v>
      </c>
      <c r="R47" t="s">
        <v>430</v>
      </c>
    </row>
    <row r="48" spans="1:18" x14ac:dyDescent="0.3">
      <c r="A48" t="s">
        <v>360</v>
      </c>
      <c r="B48" t="s">
        <v>413</v>
      </c>
      <c r="C48">
        <v>4.2735749264463703</v>
      </c>
      <c r="D48" t="s">
        <v>432</v>
      </c>
      <c r="J48" t="s">
        <v>370</v>
      </c>
      <c r="K48" t="s">
        <v>415</v>
      </c>
      <c r="L48">
        <v>-20.302585092971899</v>
      </c>
      <c r="M48">
        <v>5180.6212389478496</v>
      </c>
      <c r="N48">
        <v>-3.9189479710150096E-3</v>
      </c>
      <c r="O48">
        <v>0.99687313992313897</v>
      </c>
      <c r="P48">
        <v>1.52299797450492E-9</v>
      </c>
      <c r="Q48">
        <v>7.8900756535947295E-6</v>
      </c>
      <c r="R48" t="s">
        <v>430</v>
      </c>
    </row>
    <row r="49" spans="1:18" x14ac:dyDescent="0.3">
      <c r="A49" t="s">
        <v>358</v>
      </c>
      <c r="B49" t="s">
        <v>422</v>
      </c>
      <c r="C49">
        <v>3.7000666435045102</v>
      </c>
      <c r="D49" t="s">
        <v>431</v>
      </c>
      <c r="J49" t="s">
        <v>358</v>
      </c>
      <c r="K49" t="s">
        <v>416</v>
      </c>
      <c r="L49">
        <v>-2.0149030205424201</v>
      </c>
      <c r="M49">
        <v>1.13743793512875</v>
      </c>
      <c r="N49">
        <v>-1.7714399689987099</v>
      </c>
      <c r="O49">
        <v>7.64875670329727E-2</v>
      </c>
      <c r="P49">
        <v>0.13333333333331299</v>
      </c>
      <c r="Q49">
        <v>0.15165839135047601</v>
      </c>
      <c r="R49" t="s">
        <v>437</v>
      </c>
    </row>
    <row r="50" spans="1:18" x14ac:dyDescent="0.3">
      <c r="A50" t="s">
        <v>358</v>
      </c>
      <c r="B50" t="s">
        <v>413</v>
      </c>
      <c r="C50">
        <v>3.6382876679979499</v>
      </c>
      <c r="D50" t="s">
        <v>431</v>
      </c>
      <c r="J50" t="s">
        <v>360</v>
      </c>
      <c r="K50" t="s">
        <v>416</v>
      </c>
      <c r="L50">
        <v>-3.8066624897703001</v>
      </c>
      <c r="M50">
        <v>2.7465915342966598</v>
      </c>
      <c r="N50">
        <v>-1.38595872092247</v>
      </c>
      <c r="O50">
        <v>0.165759508508595</v>
      </c>
      <c r="P50">
        <v>2.2222222222222698E-2</v>
      </c>
      <c r="Q50">
        <v>6.1035367428816101E-2</v>
      </c>
      <c r="R50" t="s">
        <v>430</v>
      </c>
    </row>
    <row r="51" spans="1:18" x14ac:dyDescent="0.3">
      <c r="A51" t="s">
        <v>364</v>
      </c>
      <c r="B51" t="s">
        <v>420</v>
      </c>
      <c r="C51">
        <v>3.4723114585913799</v>
      </c>
      <c r="D51" t="s">
        <v>431</v>
      </c>
      <c r="J51" t="s">
        <v>362</v>
      </c>
      <c r="K51" t="s">
        <v>416</v>
      </c>
      <c r="L51">
        <v>-2.04307389750895</v>
      </c>
      <c r="M51">
        <v>0.94144546380705196</v>
      </c>
      <c r="N51">
        <v>-2.1701457769493002</v>
      </c>
      <c r="O51">
        <v>2.99958042565793E-2</v>
      </c>
      <c r="P51">
        <v>0.12962962962963101</v>
      </c>
      <c r="Q51">
        <v>0.122039226789804</v>
      </c>
      <c r="R51" t="s">
        <v>435</v>
      </c>
    </row>
    <row r="52" spans="1:18" x14ac:dyDescent="0.3">
      <c r="A52" t="s">
        <v>366</v>
      </c>
      <c r="B52" t="s">
        <v>420</v>
      </c>
      <c r="C52">
        <v>3.3526294150272302</v>
      </c>
      <c r="D52" t="s">
        <v>443</v>
      </c>
      <c r="J52" t="s">
        <v>364</v>
      </c>
      <c r="K52" t="s">
        <v>416</v>
      </c>
      <c r="L52">
        <v>-1.8889232176816499</v>
      </c>
      <c r="M52">
        <v>0.87399690029832</v>
      </c>
      <c r="N52">
        <v>-2.1612470445111498</v>
      </c>
      <c r="O52">
        <v>3.0676261149777801E-2</v>
      </c>
      <c r="P52">
        <v>0.15123456790124301</v>
      </c>
      <c r="Q52">
        <v>0.132178543563642</v>
      </c>
      <c r="R52" t="s">
        <v>429</v>
      </c>
    </row>
    <row r="53" spans="1:18" x14ac:dyDescent="0.3">
      <c r="A53" t="s">
        <v>362</v>
      </c>
      <c r="B53" t="s">
        <v>420</v>
      </c>
      <c r="C53">
        <v>3.2666072276893798</v>
      </c>
      <c r="D53" t="s">
        <v>442</v>
      </c>
      <c r="J53" t="s">
        <v>366</v>
      </c>
      <c r="K53" t="s">
        <v>416</v>
      </c>
      <c r="L53">
        <v>-20.302585092941101</v>
      </c>
      <c r="M53">
        <v>5494.8786132056002</v>
      </c>
      <c r="N53">
        <v>-3.6948195805724901E-3</v>
      </c>
      <c r="O53">
        <v>0.99705196720931599</v>
      </c>
      <c r="P53">
        <v>1.52299797455197E-9</v>
      </c>
      <c r="Q53">
        <v>8.3686889983210603E-6</v>
      </c>
      <c r="R53" t="s">
        <v>430</v>
      </c>
    </row>
    <row r="54" spans="1:18" x14ac:dyDescent="0.3">
      <c r="A54" t="s">
        <v>362</v>
      </c>
      <c r="B54" t="s">
        <v>423</v>
      </c>
      <c r="C54">
        <v>3.2106968743855999</v>
      </c>
      <c r="D54" t="s">
        <v>452</v>
      </c>
      <c r="J54" t="s">
        <v>368</v>
      </c>
      <c r="K54" t="s">
        <v>416</v>
      </c>
      <c r="L54">
        <v>-20.302585093007799</v>
      </c>
      <c r="M54">
        <v>5180.6212390046503</v>
      </c>
      <c r="N54">
        <v>-3.9189479709789499E-3</v>
      </c>
      <c r="O54">
        <v>0.99687313992316795</v>
      </c>
      <c r="P54">
        <v>1.5229979744503699E-9</v>
      </c>
      <c r="Q54">
        <v>7.89007565339866E-6</v>
      </c>
      <c r="R54" t="s">
        <v>430</v>
      </c>
    </row>
    <row r="55" spans="1:18" x14ac:dyDescent="0.3">
      <c r="A55" t="s">
        <v>360</v>
      </c>
      <c r="B55" t="s">
        <v>422</v>
      </c>
      <c r="C55">
        <v>3.0883114548470698</v>
      </c>
      <c r="D55" t="s">
        <v>447</v>
      </c>
      <c r="J55" t="s">
        <v>370</v>
      </c>
      <c r="K55" t="s">
        <v>416</v>
      </c>
      <c r="L55">
        <v>-20.302585093002602</v>
      </c>
      <c r="M55">
        <v>5180.6212389932498</v>
      </c>
      <c r="N55">
        <v>-3.9189479709865896E-3</v>
      </c>
      <c r="O55">
        <v>0.99687313992316195</v>
      </c>
      <c r="P55">
        <v>1.5229979744581901E-9</v>
      </c>
      <c r="Q55">
        <v>7.8900756534217908E-6</v>
      </c>
      <c r="R55" t="s">
        <v>430</v>
      </c>
    </row>
    <row r="56" spans="1:18" x14ac:dyDescent="0.3">
      <c r="A56" t="s">
        <v>362</v>
      </c>
      <c r="B56" t="s">
        <v>422</v>
      </c>
      <c r="C56">
        <v>3.0412100796104302</v>
      </c>
      <c r="D56" t="s">
        <v>448</v>
      </c>
      <c r="J56" t="s">
        <v>358</v>
      </c>
      <c r="K56" t="s">
        <v>417</v>
      </c>
      <c r="L56">
        <v>-20.302585054854301</v>
      </c>
      <c r="M56">
        <v>6344.9394848864304</v>
      </c>
      <c r="N56">
        <v>-3.19980751640182E-3</v>
      </c>
      <c r="O56">
        <v>0.99744692734184304</v>
      </c>
      <c r="P56">
        <v>1.5229980325579999E-9</v>
      </c>
      <c r="Q56">
        <v>9.6633303521815796E-6</v>
      </c>
      <c r="R56" t="s">
        <v>430</v>
      </c>
    </row>
    <row r="57" spans="1:18" x14ac:dyDescent="0.3">
      <c r="A57" t="s">
        <v>360</v>
      </c>
      <c r="B57" t="s">
        <v>412</v>
      </c>
      <c r="C57">
        <v>2.70511908029333</v>
      </c>
      <c r="D57" t="s">
        <v>426</v>
      </c>
      <c r="J57" t="s">
        <v>360</v>
      </c>
      <c r="K57" t="s">
        <v>417</v>
      </c>
      <c r="L57">
        <v>-20.302585092988402</v>
      </c>
      <c r="M57">
        <v>6344.9392930737204</v>
      </c>
      <c r="N57">
        <v>-3.1998076191447899E-3</v>
      </c>
      <c r="O57">
        <v>0.99744692725986595</v>
      </c>
      <c r="P57">
        <v>1.5229979744798E-9</v>
      </c>
      <c r="Q57">
        <v>9.6633296915485899E-6</v>
      </c>
      <c r="R57" t="s">
        <v>430</v>
      </c>
    </row>
    <row r="58" spans="1:18" x14ac:dyDescent="0.3">
      <c r="A58" t="s">
        <v>362</v>
      </c>
      <c r="B58" t="s">
        <v>421</v>
      </c>
      <c r="C58">
        <v>2.69406395912744</v>
      </c>
      <c r="D58" t="s">
        <v>438</v>
      </c>
      <c r="J58" t="s">
        <v>362</v>
      </c>
      <c r="K58" t="s">
        <v>417</v>
      </c>
      <c r="L58">
        <v>-0.47445797959526398</v>
      </c>
      <c r="M58">
        <v>0.455793963775803</v>
      </c>
      <c r="N58">
        <v>-1.0409483611078301</v>
      </c>
      <c r="O58">
        <v>0.29789951504934897</v>
      </c>
      <c r="P58">
        <v>0.62222222222212997</v>
      </c>
      <c r="Q58">
        <v>0.28360513301601298</v>
      </c>
      <c r="R58" t="s">
        <v>434</v>
      </c>
    </row>
    <row r="59" spans="1:18" x14ac:dyDescent="0.3">
      <c r="A59" t="s">
        <v>362</v>
      </c>
      <c r="B59" t="s">
        <v>418</v>
      </c>
      <c r="C59">
        <v>2.6779727458649001</v>
      </c>
      <c r="D59" t="s">
        <v>438</v>
      </c>
      <c r="J59" t="s">
        <v>364</v>
      </c>
      <c r="K59" t="s">
        <v>417</v>
      </c>
      <c r="L59">
        <v>9.5310179804224807E-2</v>
      </c>
      <c r="M59">
        <v>0.36081405361654301</v>
      </c>
      <c r="N59">
        <v>0.26415318042327801</v>
      </c>
      <c r="O59">
        <v>0.79166188661976999</v>
      </c>
      <c r="P59">
        <v>1.09999999999989</v>
      </c>
      <c r="Q59">
        <v>0.39689545897815698</v>
      </c>
      <c r="R59" t="s">
        <v>429</v>
      </c>
    </row>
    <row r="60" spans="1:18" x14ac:dyDescent="0.3">
      <c r="A60" t="s">
        <v>370</v>
      </c>
      <c r="B60" t="s">
        <v>420</v>
      </c>
      <c r="C60">
        <v>2.5529113789020998</v>
      </c>
      <c r="D60" t="s">
        <v>440</v>
      </c>
      <c r="J60" t="s">
        <v>366</v>
      </c>
      <c r="K60" t="s">
        <v>417</v>
      </c>
      <c r="L60">
        <v>-20.302585093015999</v>
      </c>
      <c r="M60">
        <v>5180.6212390225101</v>
      </c>
      <c r="N60">
        <v>-3.9189479709670402E-3</v>
      </c>
      <c r="O60">
        <v>0.99687313992317705</v>
      </c>
      <c r="P60">
        <v>1.5229979744378001E-9</v>
      </c>
      <c r="Q60">
        <v>7.8900756533607299E-6</v>
      </c>
      <c r="R60" t="s">
        <v>430</v>
      </c>
    </row>
    <row r="61" spans="1:18" x14ac:dyDescent="0.3">
      <c r="A61" t="s">
        <v>362</v>
      </c>
      <c r="B61" t="s">
        <v>419</v>
      </c>
      <c r="C61">
        <v>2.5433502456580701</v>
      </c>
      <c r="D61" t="s">
        <v>440</v>
      </c>
      <c r="J61" t="s">
        <v>368</v>
      </c>
      <c r="K61" t="s">
        <v>417</v>
      </c>
      <c r="L61">
        <v>-20.302585092999699</v>
      </c>
      <c r="M61">
        <v>5180.6212390151404</v>
      </c>
      <c r="N61">
        <v>-3.9189479709694601E-3</v>
      </c>
      <c r="O61">
        <v>0.99687313992317494</v>
      </c>
      <c r="P61">
        <v>1.5229979744626899E-9</v>
      </c>
      <c r="Q61">
        <v>7.8900756534784302E-6</v>
      </c>
      <c r="R61" t="s">
        <v>430</v>
      </c>
    </row>
    <row r="62" spans="1:18" x14ac:dyDescent="0.3">
      <c r="A62" t="s">
        <v>360</v>
      </c>
      <c r="B62" t="s">
        <v>423</v>
      </c>
      <c r="C62">
        <v>2.4855474700598399</v>
      </c>
      <c r="D62" t="s">
        <v>451</v>
      </c>
      <c r="J62" t="s">
        <v>370</v>
      </c>
      <c r="K62" t="s">
        <v>417</v>
      </c>
      <c r="L62">
        <v>-3.7776749528971201</v>
      </c>
      <c r="M62">
        <v>2.21050211407282</v>
      </c>
      <c r="N62">
        <v>-1.7089669034230499</v>
      </c>
      <c r="O62">
        <v>8.7457080285668204E-2</v>
      </c>
      <c r="P62">
        <v>2.2875816993462899E-2</v>
      </c>
      <c r="Q62">
        <v>5.0567041825192498E-2</v>
      </c>
      <c r="R62" t="s">
        <v>430</v>
      </c>
    </row>
    <row r="63" spans="1:18" x14ac:dyDescent="0.3">
      <c r="A63" t="s">
        <v>364</v>
      </c>
      <c r="B63" t="s">
        <v>423</v>
      </c>
      <c r="C63">
        <v>2.25285003811149</v>
      </c>
      <c r="D63" t="s">
        <v>453</v>
      </c>
      <c r="J63" t="s">
        <v>358</v>
      </c>
      <c r="K63" t="s">
        <v>418</v>
      </c>
      <c r="L63">
        <v>-4.5233401677403897</v>
      </c>
      <c r="M63">
        <v>3.9243990512455298</v>
      </c>
      <c r="N63">
        <v>-1.1526198301125301</v>
      </c>
      <c r="O63">
        <v>0.24906646026100501</v>
      </c>
      <c r="P63">
        <v>1.08527131782953E-2</v>
      </c>
      <c r="Q63">
        <v>4.2590377300342E-2</v>
      </c>
      <c r="R63" t="s">
        <v>430</v>
      </c>
    </row>
    <row r="64" spans="1:18" x14ac:dyDescent="0.3">
      <c r="A64" t="s">
        <v>364</v>
      </c>
      <c r="B64" t="s">
        <v>422</v>
      </c>
      <c r="C64">
        <v>2.13021386705325</v>
      </c>
      <c r="D64" t="s">
        <v>449</v>
      </c>
      <c r="J64" t="s">
        <v>360</v>
      </c>
      <c r="K64" t="s">
        <v>418</v>
      </c>
      <c r="L64">
        <v>-0.42899560551840199</v>
      </c>
      <c r="M64">
        <v>0.54746455339356803</v>
      </c>
      <c r="N64">
        <v>-0.78360435001533402</v>
      </c>
      <c r="O64">
        <v>0.43327230255016402</v>
      </c>
      <c r="P64">
        <v>0.65116279069764604</v>
      </c>
      <c r="Q64">
        <v>0.35648854639579602</v>
      </c>
      <c r="R64" t="s">
        <v>428</v>
      </c>
    </row>
    <row r="65" spans="1:18" x14ac:dyDescent="0.3">
      <c r="A65" t="s">
        <v>358</v>
      </c>
      <c r="B65" t="s">
        <v>423</v>
      </c>
      <c r="C65">
        <v>2.1196479621578899</v>
      </c>
      <c r="D65" t="s">
        <v>450</v>
      </c>
      <c r="J65" t="s">
        <v>362</v>
      </c>
      <c r="K65" t="s">
        <v>418</v>
      </c>
      <c r="L65">
        <v>2.6779727458649001</v>
      </c>
      <c r="M65">
        <v>0.191860084348699</v>
      </c>
      <c r="N65">
        <v>13.957946255239699</v>
      </c>
      <c r="O65">
        <v>2.8142712907201502E-44</v>
      </c>
      <c r="P65">
        <v>14.555555555554999</v>
      </c>
      <c r="Q65">
        <v>2.7926301166309599</v>
      </c>
      <c r="R65" t="s">
        <v>438</v>
      </c>
    </row>
    <row r="66" spans="1:18" x14ac:dyDescent="0.3">
      <c r="A66" t="s">
        <v>360</v>
      </c>
      <c r="B66" t="s">
        <v>420</v>
      </c>
      <c r="C66">
        <v>1.9805957070431901</v>
      </c>
      <c r="D66" t="s">
        <v>441</v>
      </c>
      <c r="J66" t="s">
        <v>364</v>
      </c>
      <c r="K66" t="s">
        <v>418</v>
      </c>
      <c r="L66">
        <v>0.89381787602209795</v>
      </c>
      <c r="M66">
        <v>0.27318720620588499</v>
      </c>
      <c r="N66">
        <v>3.2718145495747799</v>
      </c>
      <c r="O66">
        <v>1.0685964487577001E-3</v>
      </c>
      <c r="P66">
        <v>2.44444444444445</v>
      </c>
      <c r="Q66">
        <v>0.66779094850327503</v>
      </c>
      <c r="R66" t="s">
        <v>427</v>
      </c>
    </row>
    <row r="67" spans="1:18" x14ac:dyDescent="0.3">
      <c r="A67" t="s">
        <v>364</v>
      </c>
      <c r="B67" t="s">
        <v>421</v>
      </c>
      <c r="C67">
        <v>1.85020306509814</v>
      </c>
      <c r="D67" t="s">
        <v>445</v>
      </c>
      <c r="J67" t="s">
        <v>366</v>
      </c>
      <c r="K67" t="s">
        <v>418</v>
      </c>
      <c r="L67">
        <v>-3.2245738459828299</v>
      </c>
      <c r="M67">
        <v>1.78204403286218</v>
      </c>
      <c r="N67">
        <v>-1.8094804541971801</v>
      </c>
      <c r="O67">
        <v>7.0376394031655201E-2</v>
      </c>
      <c r="P67">
        <v>3.9772727272727799E-2</v>
      </c>
      <c r="Q67">
        <v>7.0876751307019398E-2</v>
      </c>
      <c r="R67" t="s">
        <v>430</v>
      </c>
    </row>
    <row r="68" spans="1:18" x14ac:dyDescent="0.3">
      <c r="A68" t="s">
        <v>360</v>
      </c>
      <c r="B68" t="s">
        <v>421</v>
      </c>
      <c r="C68">
        <v>1.8090269420255201</v>
      </c>
      <c r="D68" t="s">
        <v>444</v>
      </c>
      <c r="J68" t="s">
        <v>368</v>
      </c>
      <c r="K68" t="s">
        <v>418</v>
      </c>
      <c r="L68">
        <v>-4.03550406219916</v>
      </c>
      <c r="M68">
        <v>2.5129446846620298</v>
      </c>
      <c r="N68">
        <v>-1.6058865468986301</v>
      </c>
      <c r="O68">
        <v>0.108298839941095</v>
      </c>
      <c r="P68">
        <v>1.7676767676767801E-2</v>
      </c>
      <c r="Q68">
        <v>4.4420739375339101E-2</v>
      </c>
      <c r="R68" t="s">
        <v>430</v>
      </c>
    </row>
    <row r="69" spans="1:18" x14ac:dyDescent="0.3">
      <c r="A69" t="s">
        <v>368</v>
      </c>
      <c r="B69" t="s">
        <v>420</v>
      </c>
      <c r="C69">
        <v>1.55697434289835</v>
      </c>
      <c r="D69" t="s">
        <v>437</v>
      </c>
      <c r="J69" t="s">
        <v>370</v>
      </c>
      <c r="K69" t="s">
        <v>418</v>
      </c>
      <c r="L69">
        <v>-4.0355040621991396</v>
      </c>
      <c r="M69">
        <v>2.5129446854032498</v>
      </c>
      <c r="N69">
        <v>-1.6058865464249401</v>
      </c>
      <c r="O69">
        <v>0.108298840045191</v>
      </c>
      <c r="P69">
        <v>1.7676767676768099E-2</v>
      </c>
      <c r="Q69">
        <v>4.44207393884423E-2</v>
      </c>
      <c r="R69" t="s">
        <v>430</v>
      </c>
    </row>
    <row r="70" spans="1:18" x14ac:dyDescent="0.3">
      <c r="A70" t="s">
        <v>358</v>
      </c>
      <c r="B70" t="s">
        <v>420</v>
      </c>
      <c r="C70">
        <v>1.16682053869467</v>
      </c>
      <c r="D70" t="s">
        <v>437</v>
      </c>
      <c r="J70" t="s">
        <v>358</v>
      </c>
      <c r="K70" t="s">
        <v>419</v>
      </c>
      <c r="L70">
        <v>0.97043054579084398</v>
      </c>
      <c r="M70">
        <v>0.32698374022965099</v>
      </c>
      <c r="N70">
        <v>2.9678250824009802</v>
      </c>
      <c r="O70">
        <v>2.9991495104110498E-3</v>
      </c>
      <c r="P70">
        <v>2.63908045977016</v>
      </c>
      <c r="Q70">
        <v>0.86293639950263301</v>
      </c>
      <c r="R70" t="s">
        <v>439</v>
      </c>
    </row>
    <row r="71" spans="1:18" x14ac:dyDescent="0.3">
      <c r="A71" t="s">
        <v>366</v>
      </c>
      <c r="B71" t="s">
        <v>421</v>
      </c>
      <c r="C71">
        <v>1.1202029212604501</v>
      </c>
      <c r="D71" t="s">
        <v>446</v>
      </c>
      <c r="J71" t="s">
        <v>360</v>
      </c>
      <c r="K71" t="s">
        <v>419</v>
      </c>
      <c r="L71">
        <v>1.0523476682587201</v>
      </c>
      <c r="M71">
        <v>0.31929806152979501</v>
      </c>
      <c r="N71">
        <v>3.2958160259940099</v>
      </c>
      <c r="O71">
        <v>9.8136257958050398E-4</v>
      </c>
      <c r="P71">
        <v>2.8643678160919701</v>
      </c>
      <c r="Q71">
        <v>0.91458709118649695</v>
      </c>
      <c r="R71" t="s">
        <v>439</v>
      </c>
    </row>
    <row r="72" spans="1:18" x14ac:dyDescent="0.3">
      <c r="A72" t="s">
        <v>360</v>
      </c>
      <c r="B72" t="s">
        <v>419</v>
      </c>
      <c r="C72">
        <v>1.0523476682587201</v>
      </c>
      <c r="D72" t="s">
        <v>439</v>
      </c>
      <c r="J72" t="s">
        <v>362</v>
      </c>
      <c r="K72" t="s">
        <v>419</v>
      </c>
      <c r="L72">
        <v>2.5433502456580701</v>
      </c>
      <c r="M72">
        <v>0.19470574884726999</v>
      </c>
      <c r="N72">
        <v>13.0625328769985</v>
      </c>
      <c r="O72">
        <v>5.3903994301774302E-39</v>
      </c>
      <c r="P72">
        <v>12.722222222222101</v>
      </c>
      <c r="Q72">
        <v>2.4770898047791401</v>
      </c>
      <c r="R72" t="s">
        <v>440</v>
      </c>
    </row>
    <row r="73" spans="1:18" x14ac:dyDescent="0.3">
      <c r="A73" t="s">
        <v>358</v>
      </c>
      <c r="B73" t="s">
        <v>419</v>
      </c>
      <c r="C73">
        <v>0.97043054579084398</v>
      </c>
      <c r="D73" t="s">
        <v>439</v>
      </c>
      <c r="J73" t="s">
        <v>364</v>
      </c>
      <c r="K73" t="s">
        <v>419</v>
      </c>
      <c r="L73">
        <v>0.59853120418509398</v>
      </c>
      <c r="M73">
        <v>0.30040873234662302</v>
      </c>
      <c r="N73">
        <v>1.9923895004972301</v>
      </c>
      <c r="O73">
        <v>4.6328338454594602E-2</v>
      </c>
      <c r="P73">
        <v>1.81944444444444</v>
      </c>
      <c r="Q73">
        <v>0.54657699913066005</v>
      </c>
      <c r="R73" t="s">
        <v>435</v>
      </c>
    </row>
    <row r="74" spans="1:18" x14ac:dyDescent="0.3">
      <c r="A74" t="s">
        <v>364</v>
      </c>
      <c r="B74" t="s">
        <v>418</v>
      </c>
      <c r="C74">
        <v>0.89381787602209795</v>
      </c>
      <c r="D74" t="s">
        <v>427</v>
      </c>
      <c r="J74" t="s">
        <v>366</v>
      </c>
      <c r="K74" t="s">
        <v>419</v>
      </c>
      <c r="L74">
        <v>0.46826600934719398</v>
      </c>
      <c r="M74">
        <v>0.31423227328097703</v>
      </c>
      <c r="N74">
        <v>1.4901906938390299</v>
      </c>
      <c r="O74">
        <v>0.13617410261717</v>
      </c>
      <c r="P74">
        <v>1.5972222222222201</v>
      </c>
      <c r="Q74">
        <v>0.50189876982378201</v>
      </c>
      <c r="R74" t="s">
        <v>428</v>
      </c>
    </row>
    <row r="75" spans="1:18" x14ac:dyDescent="0.3">
      <c r="A75" t="s">
        <v>364</v>
      </c>
      <c r="B75" t="s">
        <v>419</v>
      </c>
      <c r="C75">
        <v>0.59853120418509398</v>
      </c>
      <c r="D75" t="s">
        <v>435</v>
      </c>
      <c r="J75" t="s">
        <v>368</v>
      </c>
      <c r="K75" t="s">
        <v>419</v>
      </c>
      <c r="L75">
        <v>-1.3322271398496099</v>
      </c>
      <c r="M75">
        <v>0.67099131089872199</v>
      </c>
      <c r="N75">
        <v>-1.9854610904949499</v>
      </c>
      <c r="O75">
        <v>4.7093194983832798E-2</v>
      </c>
      <c r="P75">
        <v>0.26388888888888901</v>
      </c>
      <c r="Q75">
        <v>0.17706715148716301</v>
      </c>
      <c r="R75" t="s">
        <v>436</v>
      </c>
    </row>
    <row r="76" spans="1:18" x14ac:dyDescent="0.3">
      <c r="A76" t="s">
        <v>366</v>
      </c>
      <c r="B76" t="s">
        <v>419</v>
      </c>
      <c r="C76">
        <v>0.46826600934719398</v>
      </c>
      <c r="D76" t="s">
        <v>428</v>
      </c>
      <c r="J76" t="s">
        <v>370</v>
      </c>
      <c r="K76" t="s">
        <v>419</v>
      </c>
      <c r="L76">
        <v>-1.5686159179138199</v>
      </c>
      <c r="M76">
        <v>0.75000669059153302</v>
      </c>
      <c r="N76">
        <v>-2.09146923299663</v>
      </c>
      <c r="O76">
        <v>3.6486021648458399E-2</v>
      </c>
      <c r="P76">
        <v>0.208333333333339</v>
      </c>
      <c r="Q76">
        <v>0.15625139387324</v>
      </c>
      <c r="R76" t="s">
        <v>434</v>
      </c>
    </row>
    <row r="77" spans="1:18" x14ac:dyDescent="0.3">
      <c r="A77" t="s">
        <v>358</v>
      </c>
      <c r="B77" t="s">
        <v>421</v>
      </c>
      <c r="C77">
        <v>0.39762665977455303</v>
      </c>
      <c r="D77" t="s">
        <v>427</v>
      </c>
      <c r="J77" t="s">
        <v>358</v>
      </c>
      <c r="K77" t="s">
        <v>420</v>
      </c>
      <c r="L77">
        <v>1.16682053869467</v>
      </c>
      <c r="M77">
        <v>0.30928564170131201</v>
      </c>
      <c r="N77">
        <v>3.7726308026336</v>
      </c>
      <c r="O77">
        <v>1.6153523148274999E-4</v>
      </c>
      <c r="P77">
        <v>3.2117647058824401</v>
      </c>
      <c r="Q77">
        <v>0.99335270805247899</v>
      </c>
      <c r="R77" t="s">
        <v>437</v>
      </c>
    </row>
    <row r="78" spans="1:18" x14ac:dyDescent="0.3">
      <c r="A78" t="s">
        <v>358</v>
      </c>
      <c r="B78" t="s">
        <v>412</v>
      </c>
      <c r="C78">
        <v>0.324202144029416</v>
      </c>
      <c r="D78" t="s">
        <v>425</v>
      </c>
      <c r="J78" t="s">
        <v>360</v>
      </c>
      <c r="K78" t="s">
        <v>420</v>
      </c>
      <c r="L78">
        <v>1.9805957070431901</v>
      </c>
      <c r="M78">
        <v>0.258385161663506</v>
      </c>
      <c r="N78">
        <v>7.6652842380419104</v>
      </c>
      <c r="O78">
        <v>1.7843559340780899E-14</v>
      </c>
      <c r="P78">
        <v>7.2470588235292901</v>
      </c>
      <c r="Q78">
        <v>1.8725324657025599</v>
      </c>
      <c r="R78" t="s">
        <v>441</v>
      </c>
    </row>
    <row r="79" spans="1:18" x14ac:dyDescent="0.3">
      <c r="A79" t="s">
        <v>364</v>
      </c>
      <c r="B79" t="s">
        <v>417</v>
      </c>
      <c r="C79">
        <v>9.5310179804224807E-2</v>
      </c>
      <c r="D79" t="s">
        <v>429</v>
      </c>
      <c r="J79" t="s">
        <v>362</v>
      </c>
      <c r="K79" t="s">
        <v>420</v>
      </c>
      <c r="L79">
        <v>3.2666072276893798</v>
      </c>
      <c r="M79">
        <v>0.18279494608883701</v>
      </c>
      <c r="N79">
        <v>17.870336667305001</v>
      </c>
      <c r="O79">
        <v>2.0077898740342901E-71</v>
      </c>
      <c r="P79">
        <v>26.222222222222001</v>
      </c>
      <c r="Q79">
        <v>4.7932896974405796</v>
      </c>
      <c r="R79" t="s">
        <v>442</v>
      </c>
    </row>
    <row r="80" spans="1:18" x14ac:dyDescent="0.3">
      <c r="A80" t="s">
        <v>368</v>
      </c>
      <c r="B80" t="s">
        <v>421</v>
      </c>
      <c r="C80">
        <v>9.2781733450956597E-2</v>
      </c>
      <c r="D80" t="s">
        <v>429</v>
      </c>
      <c r="J80" t="s">
        <v>364</v>
      </c>
      <c r="K80" t="s">
        <v>420</v>
      </c>
      <c r="L80">
        <v>3.4723114585913799</v>
      </c>
      <c r="M80">
        <v>0.18062715607820701</v>
      </c>
      <c r="N80">
        <v>19.223640198863301</v>
      </c>
      <c r="O80">
        <v>2.3471135665726501E-82</v>
      </c>
      <c r="P80">
        <v>32.211111111110803</v>
      </c>
      <c r="Q80">
        <v>5.8182013941190798</v>
      </c>
      <c r="R80" t="s">
        <v>431</v>
      </c>
    </row>
    <row r="81" spans="1:18" x14ac:dyDescent="0.3">
      <c r="A81" t="s">
        <v>364</v>
      </c>
      <c r="B81" t="s">
        <v>415</v>
      </c>
      <c r="C81">
        <v>-7.1521317840291102E-2</v>
      </c>
      <c r="D81" t="s">
        <v>434</v>
      </c>
      <c r="J81" t="s">
        <v>366</v>
      </c>
      <c r="K81" t="s">
        <v>420</v>
      </c>
      <c r="L81">
        <v>3.3526294150272302</v>
      </c>
      <c r="M81">
        <v>0.18183709484972099</v>
      </c>
      <c r="N81">
        <v>18.437543878481002</v>
      </c>
      <c r="O81">
        <v>6.5656677886917499E-76</v>
      </c>
      <c r="P81">
        <v>28.577777777777399</v>
      </c>
      <c r="Q81">
        <v>5.1965000883719599</v>
      </c>
      <c r="R81" t="s">
        <v>443</v>
      </c>
    </row>
    <row r="82" spans="1:18" x14ac:dyDescent="0.3">
      <c r="A82" t="s">
        <v>362</v>
      </c>
      <c r="B82" t="s">
        <v>415</v>
      </c>
      <c r="C82">
        <v>-8.4260343617827499E-2</v>
      </c>
      <c r="D82" t="s">
        <v>434</v>
      </c>
      <c r="J82" t="s">
        <v>368</v>
      </c>
      <c r="K82" t="s">
        <v>420</v>
      </c>
      <c r="L82">
        <v>1.55697434289835</v>
      </c>
      <c r="M82">
        <v>0.22933797321770799</v>
      </c>
      <c r="N82">
        <v>6.7889949538375296</v>
      </c>
      <c r="O82">
        <v>1.12917390600257E-11</v>
      </c>
      <c r="P82">
        <v>4.7444444444443796</v>
      </c>
      <c r="Q82">
        <v>1.0880812729328899</v>
      </c>
      <c r="R82" t="s">
        <v>437</v>
      </c>
    </row>
    <row r="83" spans="1:18" x14ac:dyDescent="0.3">
      <c r="A83" t="s">
        <v>366</v>
      </c>
      <c r="B83" t="s">
        <v>423</v>
      </c>
      <c r="C83">
        <v>-8.7011376989642106E-2</v>
      </c>
      <c r="D83" t="s">
        <v>434</v>
      </c>
      <c r="J83" t="s">
        <v>370</v>
      </c>
      <c r="K83" t="s">
        <v>420</v>
      </c>
      <c r="L83">
        <v>2.5529113789020998</v>
      </c>
      <c r="M83">
        <v>0.194492210162932</v>
      </c>
      <c r="N83">
        <v>13.126034080046001</v>
      </c>
      <c r="O83">
        <v>2.33572462343251E-39</v>
      </c>
      <c r="P83">
        <v>12.844444444444999</v>
      </c>
      <c r="Q83">
        <v>2.4981443883151</v>
      </c>
      <c r="R83" t="s">
        <v>440</v>
      </c>
    </row>
    <row r="84" spans="1:18" x14ac:dyDescent="0.3">
      <c r="A84" t="s">
        <v>364</v>
      </c>
      <c r="B84" t="s">
        <v>414</v>
      </c>
      <c r="C84">
        <v>-0.16862271243580401</v>
      </c>
      <c r="D84" t="s">
        <v>434</v>
      </c>
      <c r="J84" t="s">
        <v>358</v>
      </c>
      <c r="K84" t="s">
        <v>421</v>
      </c>
      <c r="L84">
        <v>0.39762665977455303</v>
      </c>
      <c r="M84">
        <v>0.39465241469551998</v>
      </c>
      <c r="N84">
        <v>1.0075363660990899</v>
      </c>
      <c r="O84">
        <v>0.313677090968771</v>
      </c>
      <c r="P84">
        <v>1.4882882882883</v>
      </c>
      <c r="Q84">
        <v>0.58735656673603998</v>
      </c>
      <c r="R84" t="s">
        <v>427</v>
      </c>
    </row>
    <row r="85" spans="1:18" x14ac:dyDescent="0.3">
      <c r="A85" t="s">
        <v>360</v>
      </c>
      <c r="B85" t="s">
        <v>414</v>
      </c>
      <c r="C85">
        <v>-0.36909746393729898</v>
      </c>
      <c r="D85" t="s">
        <v>428</v>
      </c>
      <c r="J85" t="s">
        <v>360</v>
      </c>
      <c r="K85" t="s">
        <v>421</v>
      </c>
      <c r="L85">
        <v>1.8090269420255201</v>
      </c>
      <c r="M85">
        <v>0.26658450720433002</v>
      </c>
      <c r="N85">
        <v>6.7859417675722202</v>
      </c>
      <c r="O85">
        <v>1.1533166655788899E-11</v>
      </c>
      <c r="P85">
        <v>6.1045045045045603</v>
      </c>
      <c r="Q85">
        <v>1.6273663250599599</v>
      </c>
      <c r="R85" t="s">
        <v>444</v>
      </c>
    </row>
    <row r="86" spans="1:18" x14ac:dyDescent="0.3">
      <c r="A86" t="s">
        <v>360</v>
      </c>
      <c r="B86" t="s">
        <v>418</v>
      </c>
      <c r="C86">
        <v>-0.42899560551840199</v>
      </c>
      <c r="D86" t="s">
        <v>428</v>
      </c>
      <c r="J86" t="s">
        <v>362</v>
      </c>
      <c r="K86" t="s">
        <v>421</v>
      </c>
      <c r="L86">
        <v>2.69406395912744</v>
      </c>
      <c r="M86">
        <v>0.19154227018919101</v>
      </c>
      <c r="N86">
        <v>14.0651144860424</v>
      </c>
      <c r="O86">
        <v>6.22220863454461E-45</v>
      </c>
      <c r="P86">
        <v>14.7916666666663</v>
      </c>
      <c r="Q86">
        <v>2.83322941321505</v>
      </c>
      <c r="R86" t="s">
        <v>438</v>
      </c>
    </row>
    <row r="87" spans="1:18" x14ac:dyDescent="0.3">
      <c r="A87" t="s">
        <v>362</v>
      </c>
      <c r="B87" t="s">
        <v>417</v>
      </c>
      <c r="C87">
        <v>-0.47445797959526398</v>
      </c>
      <c r="D87" t="s">
        <v>434</v>
      </c>
      <c r="J87" t="s">
        <v>364</v>
      </c>
      <c r="K87" t="s">
        <v>421</v>
      </c>
      <c r="L87">
        <v>1.85020306509814</v>
      </c>
      <c r="M87">
        <v>0.21597211183003701</v>
      </c>
      <c r="N87">
        <v>8.56686101469524</v>
      </c>
      <c r="O87">
        <v>1.06344117401072E-17</v>
      </c>
      <c r="P87">
        <v>6.3611111111111898</v>
      </c>
      <c r="Q87">
        <v>1.3738226002522</v>
      </c>
      <c r="R87" t="s">
        <v>445</v>
      </c>
    </row>
    <row r="88" spans="1:18" x14ac:dyDescent="0.3">
      <c r="A88" t="s">
        <v>362</v>
      </c>
      <c r="B88" t="s">
        <v>414</v>
      </c>
      <c r="C88">
        <v>-0.72823850037123805</v>
      </c>
      <c r="D88" t="s">
        <v>436</v>
      </c>
      <c r="J88" t="s">
        <v>366</v>
      </c>
      <c r="K88" t="s">
        <v>421</v>
      </c>
      <c r="L88">
        <v>1.1202029212604501</v>
      </c>
      <c r="M88">
        <v>0.25577853481592899</v>
      </c>
      <c r="N88">
        <v>4.3795814299530802</v>
      </c>
      <c r="O88">
        <v>1.1890748326727E-5</v>
      </c>
      <c r="P88">
        <v>3.0654761904761099</v>
      </c>
      <c r="Q88">
        <v>0.78408300851309598</v>
      </c>
      <c r="R88" t="s">
        <v>446</v>
      </c>
    </row>
    <row r="89" spans="1:18" x14ac:dyDescent="0.3">
      <c r="A89" t="s">
        <v>368</v>
      </c>
      <c r="B89" t="s">
        <v>423</v>
      </c>
      <c r="C89">
        <v>-0.81093021621636596</v>
      </c>
      <c r="D89" t="s">
        <v>436</v>
      </c>
      <c r="J89" t="s">
        <v>368</v>
      </c>
      <c r="K89" t="s">
        <v>421</v>
      </c>
      <c r="L89">
        <v>9.2781733450956597E-2</v>
      </c>
      <c r="M89">
        <v>0.36116828991766903</v>
      </c>
      <c r="N89">
        <v>0.25689335426459198</v>
      </c>
      <c r="O89">
        <v>0.79726110099305403</v>
      </c>
      <c r="P89">
        <v>1.0972222222222101</v>
      </c>
      <c r="Q89">
        <v>0.396281873659661</v>
      </c>
      <c r="R89" t="s">
        <v>429</v>
      </c>
    </row>
    <row r="90" spans="1:18" x14ac:dyDescent="0.3">
      <c r="A90" t="s">
        <v>370</v>
      </c>
      <c r="B90" t="s">
        <v>423</v>
      </c>
      <c r="C90">
        <v>-0.90937028902954198</v>
      </c>
      <c r="D90" t="s">
        <v>436</v>
      </c>
      <c r="J90" t="s">
        <v>370</v>
      </c>
      <c r="K90" t="s">
        <v>421</v>
      </c>
      <c r="L90">
        <v>-0.98082925301164803</v>
      </c>
      <c r="M90">
        <v>0.570502406339226</v>
      </c>
      <c r="N90">
        <v>-1.71923771418492</v>
      </c>
      <c r="O90">
        <v>8.5571096156326396E-2</v>
      </c>
      <c r="P90">
        <v>0.37500000000002898</v>
      </c>
      <c r="Q90">
        <v>0.213938402377226</v>
      </c>
      <c r="R90" t="s">
        <v>436</v>
      </c>
    </row>
    <row r="91" spans="1:18" x14ac:dyDescent="0.3">
      <c r="A91" t="s">
        <v>364</v>
      </c>
      <c r="B91" t="s">
        <v>413</v>
      </c>
      <c r="C91">
        <v>-0.96141116715462505</v>
      </c>
      <c r="D91" t="s">
        <v>429</v>
      </c>
      <c r="J91" t="s">
        <v>358</v>
      </c>
      <c r="K91" t="s">
        <v>422</v>
      </c>
      <c r="L91">
        <v>3.7000666435045102</v>
      </c>
      <c r="M91">
        <v>0.218827259302491</v>
      </c>
      <c r="N91">
        <v>16.908618493410799</v>
      </c>
      <c r="O91">
        <v>3.8871405862174997E-64</v>
      </c>
      <c r="P91">
        <v>40.4500000000005</v>
      </c>
      <c r="Q91">
        <v>8.8515626387858894</v>
      </c>
      <c r="R91" t="s">
        <v>431</v>
      </c>
    </row>
    <row r="92" spans="1:18" x14ac:dyDescent="0.3">
      <c r="A92" t="s">
        <v>370</v>
      </c>
      <c r="B92" t="s">
        <v>421</v>
      </c>
      <c r="C92">
        <v>-0.98082925301164803</v>
      </c>
      <c r="D92" t="s">
        <v>436</v>
      </c>
      <c r="J92" t="s">
        <v>360</v>
      </c>
      <c r="K92" t="s">
        <v>422</v>
      </c>
      <c r="L92">
        <v>3.0883114548470698</v>
      </c>
      <c r="M92">
        <v>0.24826163176503499</v>
      </c>
      <c r="N92">
        <v>12.439745251372401</v>
      </c>
      <c r="O92">
        <v>1.5901023725009899E-35</v>
      </c>
      <c r="P92">
        <v>21.9399999999996</v>
      </c>
      <c r="Q92">
        <v>5.4468602009247702</v>
      </c>
      <c r="R92" t="s">
        <v>447</v>
      </c>
    </row>
    <row r="93" spans="1:18" x14ac:dyDescent="0.3">
      <c r="A93" t="s">
        <v>358</v>
      </c>
      <c r="B93" t="s">
        <v>414</v>
      </c>
      <c r="C93">
        <v>-1.0622446444970901</v>
      </c>
      <c r="D93" t="s">
        <v>435</v>
      </c>
      <c r="J93" t="s">
        <v>362</v>
      </c>
      <c r="K93" t="s">
        <v>422</v>
      </c>
      <c r="L93">
        <v>3.0412100796104302</v>
      </c>
      <c r="M93">
        <v>0.18570208462241999</v>
      </c>
      <c r="N93">
        <v>16.376822510064901</v>
      </c>
      <c r="O93">
        <v>2.7999315386436199E-60</v>
      </c>
      <c r="P93">
        <v>20.930555555555301</v>
      </c>
      <c r="Q93">
        <v>3.8868477989719801</v>
      </c>
      <c r="R93" t="s">
        <v>448</v>
      </c>
    </row>
    <row r="94" spans="1:18" x14ac:dyDescent="0.3">
      <c r="A94" t="s">
        <v>368</v>
      </c>
      <c r="B94" t="s">
        <v>419</v>
      </c>
      <c r="C94">
        <v>-1.3322271398496099</v>
      </c>
      <c r="D94" t="s">
        <v>436</v>
      </c>
      <c r="J94" t="s">
        <v>364</v>
      </c>
      <c r="K94" t="s">
        <v>422</v>
      </c>
      <c r="L94">
        <v>2.13021386705325</v>
      </c>
      <c r="M94">
        <v>0.205859234216103</v>
      </c>
      <c r="N94">
        <v>10.3479150457591</v>
      </c>
      <c r="O94">
        <v>4.27698260000802E-25</v>
      </c>
      <c r="P94">
        <v>8.4166666666666003</v>
      </c>
      <c r="Q94">
        <v>1.7326485546521899</v>
      </c>
      <c r="R94" t="s">
        <v>449</v>
      </c>
    </row>
    <row r="95" spans="1:18" x14ac:dyDescent="0.3">
      <c r="A95" t="s">
        <v>366</v>
      </c>
      <c r="B95" t="s">
        <v>413</v>
      </c>
      <c r="C95">
        <v>-1.47508985990304</v>
      </c>
      <c r="D95" t="s">
        <v>434</v>
      </c>
      <c r="J95" t="s">
        <v>366</v>
      </c>
      <c r="K95" t="s">
        <v>422</v>
      </c>
      <c r="L95">
        <v>-1.63760878940083</v>
      </c>
      <c r="M95">
        <v>0.77498727448170701</v>
      </c>
      <c r="N95">
        <v>-2.11307829602237</v>
      </c>
      <c r="O95">
        <v>3.4594067005309703E-2</v>
      </c>
      <c r="P95">
        <v>0.19444444444443801</v>
      </c>
      <c r="Q95">
        <v>0.150691970038105</v>
      </c>
      <c r="R95" t="s">
        <v>434</v>
      </c>
    </row>
    <row r="96" spans="1:18" x14ac:dyDescent="0.3">
      <c r="A96" t="s">
        <v>366</v>
      </c>
      <c r="B96" t="s">
        <v>412</v>
      </c>
      <c r="C96">
        <v>-1.48592420206875</v>
      </c>
      <c r="D96" t="s">
        <v>429</v>
      </c>
      <c r="J96" t="s">
        <v>368</v>
      </c>
      <c r="K96" t="s">
        <v>422</v>
      </c>
      <c r="L96">
        <v>-4.2766661190161299</v>
      </c>
      <c r="M96">
        <v>2.83358019201602</v>
      </c>
      <c r="N96">
        <v>-1.5092800729854701</v>
      </c>
      <c r="O96">
        <v>0.13122722487321001</v>
      </c>
      <c r="P96">
        <v>1.3888888888887899E-2</v>
      </c>
      <c r="Q96">
        <v>3.9355280444664201E-2</v>
      </c>
      <c r="R96" t="s">
        <v>430</v>
      </c>
    </row>
    <row r="97" spans="1:18" x14ac:dyDescent="0.3">
      <c r="A97" t="s">
        <v>370</v>
      </c>
      <c r="B97" t="s">
        <v>419</v>
      </c>
      <c r="C97">
        <v>-1.5686159179138199</v>
      </c>
      <c r="D97" t="s">
        <v>434</v>
      </c>
      <c r="J97" t="s">
        <v>370</v>
      </c>
      <c r="K97" t="s">
        <v>422</v>
      </c>
      <c r="L97">
        <v>-2.4849066497879302</v>
      </c>
      <c r="M97">
        <v>1.1672660538208099</v>
      </c>
      <c r="N97">
        <v>-2.12882627885398</v>
      </c>
      <c r="O97">
        <v>3.32686358893481E-2</v>
      </c>
      <c r="P97">
        <v>8.3333333333339393E-2</v>
      </c>
      <c r="Q97">
        <v>9.7272171151741402E-2</v>
      </c>
      <c r="R97" t="s">
        <v>425</v>
      </c>
    </row>
    <row r="98" spans="1:18" x14ac:dyDescent="0.3">
      <c r="A98" t="s">
        <v>366</v>
      </c>
      <c r="B98" t="s">
        <v>422</v>
      </c>
      <c r="C98">
        <v>-1.63760878940083</v>
      </c>
      <c r="D98" t="s">
        <v>434</v>
      </c>
      <c r="J98" t="s">
        <v>358</v>
      </c>
      <c r="K98" t="s">
        <v>423</v>
      </c>
      <c r="L98">
        <v>2.1196479621578899</v>
      </c>
      <c r="M98">
        <v>0.25254182137019898</v>
      </c>
      <c r="N98">
        <v>8.3932552266292308</v>
      </c>
      <c r="O98">
        <v>4.7286354603674898E-17</v>
      </c>
      <c r="P98">
        <v>8.3282051282052496</v>
      </c>
      <c r="Q98">
        <v>2.1032200918215902</v>
      </c>
      <c r="R98" t="s">
        <v>450</v>
      </c>
    </row>
    <row r="99" spans="1:18" x14ac:dyDescent="0.3">
      <c r="A99" t="s">
        <v>364</v>
      </c>
      <c r="B99" t="s">
        <v>416</v>
      </c>
      <c r="C99">
        <v>-1.8889232176816499</v>
      </c>
      <c r="D99" t="s">
        <v>429</v>
      </c>
      <c r="J99" t="s">
        <v>360</v>
      </c>
      <c r="K99" t="s">
        <v>423</v>
      </c>
      <c r="L99">
        <v>2.4855474700598399</v>
      </c>
      <c r="M99">
        <v>0.24009383109215399</v>
      </c>
      <c r="N99">
        <v>10.3524003876044</v>
      </c>
      <c r="O99">
        <v>4.08122889460442E-25</v>
      </c>
      <c r="P99">
        <v>12.007692307692199</v>
      </c>
      <c r="Q99">
        <v>2.8829728487296098</v>
      </c>
      <c r="R99" t="s">
        <v>451</v>
      </c>
    </row>
    <row r="100" spans="1:18" x14ac:dyDescent="0.3">
      <c r="A100" t="s">
        <v>364</v>
      </c>
      <c r="B100" t="s">
        <v>412</v>
      </c>
      <c r="C100">
        <v>-1.9740810260221</v>
      </c>
      <c r="D100" t="s">
        <v>428</v>
      </c>
      <c r="J100" t="s">
        <v>362</v>
      </c>
      <c r="K100" t="s">
        <v>423</v>
      </c>
      <c r="L100">
        <v>3.2106968743855999</v>
      </c>
      <c r="M100">
        <v>0.18346020979408001</v>
      </c>
      <c r="N100">
        <v>17.500780567019699</v>
      </c>
      <c r="O100">
        <v>1.41319129416409E-68</v>
      </c>
      <c r="P100">
        <v>24.796360153256298</v>
      </c>
      <c r="Q100">
        <v>4.5491454358459702</v>
      </c>
      <c r="R100" t="s">
        <v>452</v>
      </c>
    </row>
    <row r="101" spans="1:18" x14ac:dyDescent="0.3">
      <c r="A101" t="s">
        <v>358</v>
      </c>
      <c r="B101" t="s">
        <v>416</v>
      </c>
      <c r="C101">
        <v>-2.0149030205424201</v>
      </c>
      <c r="D101" t="s">
        <v>437</v>
      </c>
      <c r="J101" t="s">
        <v>364</v>
      </c>
      <c r="K101" t="s">
        <v>423</v>
      </c>
      <c r="L101">
        <v>2.25285003811149</v>
      </c>
      <c r="M101">
        <v>0.202124713435615</v>
      </c>
      <c r="N101">
        <v>11.1458415936313</v>
      </c>
      <c r="O101">
        <v>7.5031561724361598E-29</v>
      </c>
      <c r="P101">
        <v>9.5148148148146703</v>
      </c>
      <c r="Q101">
        <v>1.9231792178373599</v>
      </c>
      <c r="R101" t="s">
        <v>453</v>
      </c>
    </row>
    <row r="102" spans="1:18" x14ac:dyDescent="0.3">
      <c r="A102" t="s">
        <v>362</v>
      </c>
      <c r="B102" t="s">
        <v>416</v>
      </c>
      <c r="C102">
        <v>-2.04307389750895</v>
      </c>
      <c r="D102" t="s">
        <v>435</v>
      </c>
      <c r="J102" t="s">
        <v>366</v>
      </c>
      <c r="K102" t="s">
        <v>423</v>
      </c>
      <c r="L102">
        <v>-8.7011376989642106E-2</v>
      </c>
      <c r="M102">
        <v>0.38779998116573899</v>
      </c>
      <c r="N102">
        <v>-0.224371792716655</v>
      </c>
      <c r="O102">
        <v>0.82246801733478303</v>
      </c>
      <c r="P102">
        <v>0.91666666666665497</v>
      </c>
      <c r="Q102">
        <v>0.35548331606859002</v>
      </c>
      <c r="R102" t="s">
        <v>434</v>
      </c>
    </row>
    <row r="103" spans="1:18" x14ac:dyDescent="0.3">
      <c r="A103" t="s">
        <v>362</v>
      </c>
      <c r="B103" t="s">
        <v>412</v>
      </c>
      <c r="C103">
        <v>-2.1972245773363199</v>
      </c>
      <c r="D103" t="s">
        <v>427</v>
      </c>
      <c r="J103" t="s">
        <v>368</v>
      </c>
      <c r="K103" t="s">
        <v>423</v>
      </c>
      <c r="L103">
        <v>-0.81093021621636596</v>
      </c>
      <c r="M103">
        <v>0.52837175199933095</v>
      </c>
      <c r="N103">
        <v>-1.5347720864104699</v>
      </c>
      <c r="O103">
        <v>0.124839821651284</v>
      </c>
      <c r="P103">
        <v>0.44444444444442799</v>
      </c>
      <c r="Q103">
        <v>0.23483188977747199</v>
      </c>
      <c r="R103" t="s">
        <v>436</v>
      </c>
    </row>
    <row r="104" spans="1:18" x14ac:dyDescent="0.3">
      <c r="A104" t="s">
        <v>370</v>
      </c>
      <c r="B104" t="s">
        <v>422</v>
      </c>
      <c r="C104">
        <v>-2.4849066497879302</v>
      </c>
      <c r="D104" t="s">
        <v>425</v>
      </c>
      <c r="J104" t="s">
        <v>370</v>
      </c>
      <c r="K104" t="s">
        <v>423</v>
      </c>
      <c r="L104">
        <v>-0.90937028902954198</v>
      </c>
      <c r="M104">
        <v>0.55230315273715702</v>
      </c>
      <c r="N104">
        <v>-1.6465056998548699</v>
      </c>
      <c r="O104">
        <v>9.9659687556247406E-2</v>
      </c>
      <c r="P104">
        <v>0.402777777777793</v>
      </c>
      <c r="Q104">
        <v>0.22245543651914099</v>
      </c>
      <c r="R104" t="s">
        <v>436</v>
      </c>
    </row>
    <row r="105" spans="1:18" x14ac:dyDescent="0.3">
      <c r="A105" t="s">
        <v>362</v>
      </c>
      <c r="B105" t="s">
        <v>413</v>
      </c>
      <c r="C105">
        <v>-3.08452777233714</v>
      </c>
      <c r="D105" t="s">
        <v>433</v>
      </c>
    </row>
    <row r="106" spans="1:18" x14ac:dyDescent="0.3">
      <c r="A106" t="s">
        <v>366</v>
      </c>
      <c r="B106" t="s">
        <v>418</v>
      </c>
      <c r="C106">
        <v>-3.2245738459828299</v>
      </c>
      <c r="D106" t="s">
        <v>430</v>
      </c>
    </row>
    <row r="107" spans="1:18" x14ac:dyDescent="0.3">
      <c r="A107" t="s">
        <v>366</v>
      </c>
      <c r="B107" t="s">
        <v>414</v>
      </c>
      <c r="C107">
        <v>-3.6186102582673598</v>
      </c>
      <c r="D107" t="s">
        <v>430</v>
      </c>
    </row>
    <row r="108" spans="1:18" x14ac:dyDescent="0.3">
      <c r="A108" t="s">
        <v>366</v>
      </c>
      <c r="B108" t="s">
        <v>415</v>
      </c>
      <c r="C108">
        <v>-3.7478219897473402</v>
      </c>
      <c r="D108" t="s">
        <v>430</v>
      </c>
    </row>
    <row r="109" spans="1:18" x14ac:dyDescent="0.3">
      <c r="A109" t="s">
        <v>368</v>
      </c>
      <c r="B109" t="s">
        <v>413</v>
      </c>
      <c r="C109">
        <v>-3.7776749528971099</v>
      </c>
      <c r="D109" t="s">
        <v>430</v>
      </c>
    </row>
    <row r="110" spans="1:18" x14ac:dyDescent="0.3">
      <c r="A110" t="s">
        <v>370</v>
      </c>
      <c r="B110" t="s">
        <v>417</v>
      </c>
      <c r="C110">
        <v>-3.7776749528971201</v>
      </c>
      <c r="D110" t="s">
        <v>430</v>
      </c>
    </row>
    <row r="111" spans="1:18" x14ac:dyDescent="0.3">
      <c r="A111" t="s">
        <v>360</v>
      </c>
      <c r="B111" t="s">
        <v>416</v>
      </c>
      <c r="C111">
        <v>-3.8066624897703001</v>
      </c>
      <c r="D111" t="s">
        <v>430</v>
      </c>
    </row>
    <row r="112" spans="1:18" x14ac:dyDescent="0.3">
      <c r="A112" t="s">
        <v>370</v>
      </c>
      <c r="B112" t="s">
        <v>418</v>
      </c>
      <c r="C112">
        <v>-4.0355040621991396</v>
      </c>
      <c r="D112" t="s">
        <v>430</v>
      </c>
    </row>
    <row r="113" spans="1:4" x14ac:dyDescent="0.3">
      <c r="A113" t="s">
        <v>368</v>
      </c>
      <c r="B113" t="s">
        <v>418</v>
      </c>
      <c r="C113">
        <v>-4.03550406219916</v>
      </c>
      <c r="D113" t="s">
        <v>430</v>
      </c>
    </row>
    <row r="114" spans="1:4" x14ac:dyDescent="0.3">
      <c r="A114" t="s">
        <v>368</v>
      </c>
      <c r="B114" t="s">
        <v>422</v>
      </c>
      <c r="C114">
        <v>-4.2766661190161299</v>
      </c>
      <c r="D114" t="s">
        <v>430</v>
      </c>
    </row>
    <row r="115" spans="1:4" x14ac:dyDescent="0.3">
      <c r="A115" t="s">
        <v>370</v>
      </c>
      <c r="B115" t="s">
        <v>414</v>
      </c>
      <c r="C115">
        <v>-4.3117574388272999</v>
      </c>
      <c r="D115" t="s">
        <v>430</v>
      </c>
    </row>
    <row r="116" spans="1:4" x14ac:dyDescent="0.3">
      <c r="A116" t="s">
        <v>368</v>
      </c>
      <c r="B116" t="s">
        <v>415</v>
      </c>
      <c r="C116">
        <v>-4.4409691703074401</v>
      </c>
      <c r="D116" t="s">
        <v>430</v>
      </c>
    </row>
    <row r="117" spans="1:4" x14ac:dyDescent="0.3">
      <c r="A117" t="s">
        <v>370</v>
      </c>
      <c r="B117" t="s">
        <v>413</v>
      </c>
      <c r="C117">
        <v>-4.4708221334569798</v>
      </c>
      <c r="D117" t="s">
        <v>430</v>
      </c>
    </row>
    <row r="118" spans="1:4" x14ac:dyDescent="0.3">
      <c r="A118" t="s">
        <v>358</v>
      </c>
      <c r="B118" t="s">
        <v>418</v>
      </c>
      <c r="C118">
        <v>-4.5233401677403897</v>
      </c>
      <c r="D118" t="s">
        <v>430</v>
      </c>
    </row>
    <row r="119" spans="1:4" x14ac:dyDescent="0.3">
      <c r="A119" t="s">
        <v>370</v>
      </c>
      <c r="B119" t="s">
        <v>412</v>
      </c>
      <c r="C119">
        <v>-20.3025850073154</v>
      </c>
      <c r="D119" t="s">
        <v>430</v>
      </c>
    </row>
    <row r="120" spans="1:4" x14ac:dyDescent="0.3">
      <c r="A120" t="s">
        <v>358</v>
      </c>
      <c r="B120" t="s">
        <v>417</v>
      </c>
      <c r="C120">
        <v>-20.302585054854301</v>
      </c>
      <c r="D120" t="s">
        <v>430</v>
      </c>
    </row>
    <row r="121" spans="1:4" x14ac:dyDescent="0.3">
      <c r="A121" t="s">
        <v>366</v>
      </c>
      <c r="B121" t="s">
        <v>416</v>
      </c>
      <c r="C121">
        <v>-20.302585092941101</v>
      </c>
      <c r="D121" t="s">
        <v>430</v>
      </c>
    </row>
    <row r="122" spans="1:4" x14ac:dyDescent="0.3">
      <c r="A122" t="s">
        <v>360</v>
      </c>
      <c r="B122" t="s">
        <v>415</v>
      </c>
      <c r="C122">
        <v>-20.302585092942799</v>
      </c>
      <c r="D122" t="s">
        <v>430</v>
      </c>
    </row>
    <row r="123" spans="1:4" x14ac:dyDescent="0.3">
      <c r="A123" t="s">
        <v>370</v>
      </c>
      <c r="B123" t="s">
        <v>415</v>
      </c>
      <c r="C123">
        <v>-20.302585092971899</v>
      </c>
      <c r="D123" t="s">
        <v>430</v>
      </c>
    </row>
    <row r="124" spans="1:4" x14ac:dyDescent="0.3">
      <c r="A124" t="s">
        <v>360</v>
      </c>
      <c r="B124" t="s">
        <v>417</v>
      </c>
      <c r="C124">
        <v>-20.302585092988402</v>
      </c>
      <c r="D124" t="s">
        <v>430</v>
      </c>
    </row>
    <row r="125" spans="1:4" x14ac:dyDescent="0.3">
      <c r="A125" t="s">
        <v>368</v>
      </c>
      <c r="B125" t="s">
        <v>417</v>
      </c>
      <c r="C125">
        <v>-20.302585092999699</v>
      </c>
      <c r="D125" t="s">
        <v>430</v>
      </c>
    </row>
    <row r="126" spans="1:4" x14ac:dyDescent="0.3">
      <c r="A126" t="s">
        <v>370</v>
      </c>
      <c r="B126" t="s">
        <v>416</v>
      </c>
      <c r="C126">
        <v>-20.302585093002602</v>
      </c>
      <c r="D126" t="s">
        <v>430</v>
      </c>
    </row>
    <row r="127" spans="1:4" x14ac:dyDescent="0.3">
      <c r="A127" t="s">
        <v>368</v>
      </c>
      <c r="B127" t="s">
        <v>416</v>
      </c>
      <c r="C127">
        <v>-20.302585093007799</v>
      </c>
      <c r="D127" t="s">
        <v>430</v>
      </c>
    </row>
    <row r="128" spans="1:4" x14ac:dyDescent="0.3">
      <c r="A128" t="s">
        <v>366</v>
      </c>
      <c r="B128" t="s">
        <v>417</v>
      </c>
      <c r="C128">
        <v>-20.302585093015999</v>
      </c>
      <c r="D128" t="s">
        <v>430</v>
      </c>
    </row>
    <row r="129" spans="1:4" x14ac:dyDescent="0.3">
      <c r="A129" t="s">
        <v>368</v>
      </c>
      <c r="B129" t="s">
        <v>414</v>
      </c>
      <c r="C129">
        <v>-20.302585093104099</v>
      </c>
      <c r="D129" t="s">
        <v>430</v>
      </c>
    </row>
    <row r="130" spans="1:4" x14ac:dyDescent="0.3">
      <c r="A130" t="s">
        <v>358</v>
      </c>
      <c r="B130" t="s">
        <v>415</v>
      </c>
      <c r="C130">
        <v>-20.302585104842102</v>
      </c>
      <c r="D130" t="s">
        <v>430</v>
      </c>
    </row>
    <row r="131" spans="1:4" x14ac:dyDescent="0.3">
      <c r="A131" t="s">
        <v>368</v>
      </c>
      <c r="B131" t="s">
        <v>412</v>
      </c>
      <c r="C131">
        <v>-20.3025853507033</v>
      </c>
      <c r="D131" t="s">
        <v>430</v>
      </c>
    </row>
  </sheetData>
  <conditionalFormatting sqref="E5:E7">
    <cfRule type="cellIs" dxfId="12" priority="1" operator="between">
      <formula>0.01</formula>
      <formula>0.05</formula>
    </cfRule>
    <cfRule type="cellIs" dxfId="11" priority="2" operator="between">
      <formula>0.001</formula>
      <formula>0.01</formula>
    </cfRule>
    <cfRule type="cellIs" dxfId="10" priority="3" operator="lessThan">
      <formula>0.001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S41"/>
  <sheetViews>
    <sheetView topLeftCell="A19" workbookViewId="0">
      <selection activeCell="J32" sqref="J32:K39"/>
    </sheetView>
  </sheetViews>
  <sheetFormatPr defaultColWidth="11.44140625" defaultRowHeight="14.4" x14ac:dyDescent="0.3"/>
  <sheetData>
    <row r="1" spans="1:45" x14ac:dyDescent="0.3">
      <c r="A1" t="s">
        <v>313</v>
      </c>
      <c r="B1" t="s">
        <v>239</v>
      </c>
      <c r="C1" t="s">
        <v>314</v>
      </c>
      <c r="D1" t="s">
        <v>240</v>
      </c>
      <c r="E1" t="s">
        <v>315</v>
      </c>
      <c r="F1" t="s">
        <v>241</v>
      </c>
      <c r="G1" t="s">
        <v>316</v>
      </c>
      <c r="H1" t="s">
        <v>317</v>
      </c>
      <c r="I1" t="s">
        <v>242</v>
      </c>
      <c r="J1" t="s">
        <v>318</v>
      </c>
      <c r="K1" t="s">
        <v>243</v>
      </c>
      <c r="L1" t="s">
        <v>319</v>
      </c>
      <c r="M1" t="s">
        <v>244</v>
      </c>
      <c r="N1" t="s">
        <v>320</v>
      </c>
      <c r="O1" t="s">
        <v>321</v>
      </c>
      <c r="P1" t="s">
        <v>245</v>
      </c>
      <c r="Q1" t="s">
        <v>322</v>
      </c>
      <c r="R1" t="s">
        <v>246</v>
      </c>
      <c r="S1" t="s">
        <v>323</v>
      </c>
      <c r="T1" t="s">
        <v>247</v>
      </c>
      <c r="U1" t="s">
        <v>324</v>
      </c>
      <c r="V1" t="s">
        <v>325</v>
      </c>
      <c r="W1" t="s">
        <v>248</v>
      </c>
      <c r="X1" t="s">
        <v>326</v>
      </c>
      <c r="Y1" t="s">
        <v>249</v>
      </c>
      <c r="Z1" t="s">
        <v>327</v>
      </c>
      <c r="AA1" t="s">
        <v>250</v>
      </c>
      <c r="AB1" t="s">
        <v>328</v>
      </c>
      <c r="AC1" t="s">
        <v>329</v>
      </c>
      <c r="AD1" t="s">
        <v>251</v>
      </c>
      <c r="AE1" t="s">
        <v>330</v>
      </c>
      <c r="AF1" t="s">
        <v>252</v>
      </c>
      <c r="AG1" t="s">
        <v>331</v>
      </c>
      <c r="AH1" t="s">
        <v>253</v>
      </c>
      <c r="AI1" t="s">
        <v>332</v>
      </c>
      <c r="AJ1" t="s">
        <v>333</v>
      </c>
      <c r="AK1" t="s">
        <v>254</v>
      </c>
      <c r="AL1" t="s">
        <v>334</v>
      </c>
      <c r="AM1" t="s">
        <v>255</v>
      </c>
      <c r="AN1" t="s">
        <v>335</v>
      </c>
      <c r="AO1" t="s">
        <v>336</v>
      </c>
      <c r="AP1" t="s">
        <v>256</v>
      </c>
      <c r="AQ1" t="s">
        <v>337</v>
      </c>
      <c r="AR1" t="s">
        <v>257</v>
      </c>
      <c r="AS1" t="s">
        <v>338</v>
      </c>
    </row>
    <row r="2" spans="1:45" x14ac:dyDescent="0.3">
      <c r="A2" s="1">
        <v>45567</v>
      </c>
      <c r="B2" s="3">
        <v>0.17</v>
      </c>
      <c r="C2">
        <v>0.38</v>
      </c>
      <c r="D2" s="3">
        <v>0.17</v>
      </c>
      <c r="E2">
        <v>0.48</v>
      </c>
      <c r="F2" s="3">
        <v>0</v>
      </c>
      <c r="G2">
        <v>0</v>
      </c>
      <c r="H2" s="1">
        <v>45567</v>
      </c>
      <c r="I2" s="3">
        <v>0.12</v>
      </c>
      <c r="J2">
        <v>0.34</v>
      </c>
      <c r="K2" s="3">
        <v>0.21</v>
      </c>
      <c r="L2">
        <v>0.41</v>
      </c>
      <c r="M2" s="3">
        <v>0.08</v>
      </c>
      <c r="N2">
        <v>0.28000000000000003</v>
      </c>
      <c r="O2" s="1">
        <v>45568</v>
      </c>
      <c r="P2" s="3">
        <v>0.44</v>
      </c>
      <c r="Q2">
        <v>0.9</v>
      </c>
      <c r="R2" s="3">
        <v>0.16</v>
      </c>
      <c r="S2">
        <v>0.46</v>
      </c>
      <c r="T2" s="3">
        <v>0</v>
      </c>
      <c r="U2">
        <v>0</v>
      </c>
      <c r="V2" s="1">
        <v>45568</v>
      </c>
      <c r="W2" s="3">
        <v>0</v>
      </c>
      <c r="X2">
        <v>0</v>
      </c>
      <c r="Y2" s="3">
        <v>0</v>
      </c>
      <c r="Z2">
        <v>0</v>
      </c>
      <c r="AA2" s="3">
        <v>0</v>
      </c>
      <c r="AB2">
        <v>0</v>
      </c>
      <c r="AC2" s="1">
        <v>45568</v>
      </c>
      <c r="AD2" s="3">
        <v>0</v>
      </c>
      <c r="AE2">
        <v>0</v>
      </c>
      <c r="AF2" s="3">
        <v>0</v>
      </c>
      <c r="AG2">
        <v>0</v>
      </c>
      <c r="AH2" s="3">
        <v>0</v>
      </c>
      <c r="AI2">
        <v>0</v>
      </c>
      <c r="AJ2" s="1">
        <v>45588</v>
      </c>
      <c r="AK2" s="3">
        <v>0.27</v>
      </c>
      <c r="AL2">
        <v>0.35</v>
      </c>
      <c r="AM2" s="3">
        <v>1.75</v>
      </c>
      <c r="AN2">
        <v>1.48</v>
      </c>
      <c r="AO2" s="1">
        <v>45588</v>
      </c>
      <c r="AP2" s="3">
        <v>16.57</v>
      </c>
      <c r="AQ2">
        <v>7.89</v>
      </c>
      <c r="AR2" s="3">
        <v>13.34</v>
      </c>
      <c r="AS2">
        <v>5.12</v>
      </c>
    </row>
    <row r="3" spans="1:45" x14ac:dyDescent="0.3">
      <c r="A3" s="1">
        <v>45601</v>
      </c>
      <c r="B3" s="3">
        <v>0.1</v>
      </c>
      <c r="C3">
        <v>0.28000000000000003</v>
      </c>
      <c r="D3" s="3">
        <v>0.03</v>
      </c>
      <c r="E3">
        <v>0.17</v>
      </c>
      <c r="F3" s="3">
        <v>0</v>
      </c>
      <c r="G3">
        <v>0</v>
      </c>
      <c r="H3" s="1">
        <v>45601</v>
      </c>
      <c r="I3" s="3">
        <v>0.27</v>
      </c>
      <c r="J3">
        <v>0.47</v>
      </c>
      <c r="K3" s="3">
        <v>0.62</v>
      </c>
      <c r="L3">
        <v>0.85</v>
      </c>
      <c r="M3" s="3">
        <v>0</v>
      </c>
      <c r="N3">
        <v>0</v>
      </c>
      <c r="O3" s="1">
        <v>45602</v>
      </c>
      <c r="P3" s="3">
        <v>7.0000000000000007E-2</v>
      </c>
      <c r="Q3">
        <v>0.34</v>
      </c>
      <c r="R3" s="3">
        <v>0.51</v>
      </c>
      <c r="S3">
        <v>0.59</v>
      </c>
      <c r="T3" s="3">
        <v>0.1</v>
      </c>
      <c r="U3">
        <v>0.37</v>
      </c>
      <c r="V3" s="1">
        <v>45602</v>
      </c>
      <c r="W3" s="3">
        <v>0</v>
      </c>
      <c r="X3">
        <v>0</v>
      </c>
      <c r="Y3" s="3">
        <v>7.0000000000000007E-2</v>
      </c>
      <c r="Z3">
        <v>0.23</v>
      </c>
      <c r="AA3" s="3">
        <v>0</v>
      </c>
      <c r="AB3">
        <v>0</v>
      </c>
      <c r="AC3" s="1">
        <v>45602</v>
      </c>
      <c r="AD3" s="3">
        <v>0.03</v>
      </c>
      <c r="AE3">
        <v>0.17</v>
      </c>
      <c r="AF3" s="3">
        <v>0</v>
      </c>
      <c r="AG3">
        <v>0</v>
      </c>
      <c r="AH3" s="3">
        <v>0</v>
      </c>
      <c r="AI3">
        <v>0</v>
      </c>
      <c r="AJ3" s="1">
        <v>45609</v>
      </c>
      <c r="AK3" s="3">
        <v>19.82</v>
      </c>
      <c r="AL3">
        <v>17.39</v>
      </c>
      <c r="AM3" s="3">
        <v>65.33</v>
      </c>
      <c r="AN3">
        <v>28.78</v>
      </c>
      <c r="AO3" s="1">
        <v>45609</v>
      </c>
      <c r="AP3" s="3">
        <v>72.58</v>
      </c>
      <c r="AQ3">
        <v>45.2</v>
      </c>
      <c r="AR3" s="3">
        <v>70.98</v>
      </c>
      <c r="AS3">
        <v>31.19</v>
      </c>
    </row>
    <row r="4" spans="1:45" x14ac:dyDescent="0.3">
      <c r="A4" s="1">
        <v>45630</v>
      </c>
      <c r="B4" s="3">
        <v>0.56000000000000005</v>
      </c>
      <c r="C4">
        <v>0.75</v>
      </c>
      <c r="D4" s="3">
        <v>0.4</v>
      </c>
      <c r="E4">
        <v>0.85</v>
      </c>
      <c r="F4" s="3">
        <v>0.48</v>
      </c>
      <c r="G4">
        <v>0.81</v>
      </c>
      <c r="H4" s="1">
        <v>45630</v>
      </c>
      <c r="I4" s="3">
        <v>0.8</v>
      </c>
      <c r="J4">
        <v>1.0900000000000001</v>
      </c>
      <c r="K4" s="3">
        <v>1.21</v>
      </c>
      <c r="L4">
        <v>1.43</v>
      </c>
      <c r="M4" s="3">
        <v>0.52</v>
      </c>
      <c r="N4">
        <v>0.64</v>
      </c>
      <c r="O4" s="1">
        <v>45631</v>
      </c>
      <c r="P4" s="3">
        <v>0</v>
      </c>
      <c r="Q4">
        <v>0</v>
      </c>
      <c r="R4" s="3">
        <v>0.08</v>
      </c>
      <c r="S4">
        <v>0.27</v>
      </c>
      <c r="T4" s="3">
        <v>0</v>
      </c>
      <c r="U4">
        <v>0</v>
      </c>
      <c r="V4" s="1">
        <v>45631</v>
      </c>
      <c r="W4" s="3">
        <v>0</v>
      </c>
      <c r="X4">
        <v>0</v>
      </c>
      <c r="Y4" s="3">
        <v>0</v>
      </c>
      <c r="Z4">
        <v>0</v>
      </c>
      <c r="AA4" s="3">
        <v>0</v>
      </c>
      <c r="AB4">
        <v>0</v>
      </c>
      <c r="AC4" s="1">
        <v>45631</v>
      </c>
      <c r="AD4" s="3">
        <v>0.04</v>
      </c>
      <c r="AE4">
        <v>0.2</v>
      </c>
      <c r="AF4" s="3">
        <v>0</v>
      </c>
      <c r="AG4">
        <v>0</v>
      </c>
      <c r="AH4" s="3">
        <v>0</v>
      </c>
      <c r="AI4">
        <v>0</v>
      </c>
      <c r="AJ4" s="1">
        <v>45636</v>
      </c>
      <c r="AK4" s="3">
        <v>0.03</v>
      </c>
      <c r="AL4">
        <v>0.19</v>
      </c>
      <c r="AM4" s="3">
        <v>0.66</v>
      </c>
      <c r="AN4">
        <v>0.96</v>
      </c>
      <c r="AO4" s="1">
        <v>45636</v>
      </c>
      <c r="AP4" s="3">
        <v>0.66</v>
      </c>
      <c r="AQ4">
        <v>0.96</v>
      </c>
      <c r="AR4" s="3">
        <v>0.73</v>
      </c>
      <c r="AS4">
        <v>0.91</v>
      </c>
    </row>
    <row r="5" spans="1:45" x14ac:dyDescent="0.3">
      <c r="A5" s="1">
        <v>45663</v>
      </c>
      <c r="B5" s="3">
        <v>1.06</v>
      </c>
      <c r="C5">
        <v>1.04</v>
      </c>
      <c r="D5" s="3">
        <v>0.92</v>
      </c>
      <c r="E5">
        <v>1.03</v>
      </c>
      <c r="F5" s="3">
        <v>0.78</v>
      </c>
      <c r="G5">
        <v>1.1399999999999999</v>
      </c>
      <c r="H5" s="1">
        <v>45663</v>
      </c>
      <c r="I5" s="3">
        <v>0.56999999999999995</v>
      </c>
      <c r="J5">
        <v>0.6</v>
      </c>
      <c r="K5" s="3">
        <v>1.7</v>
      </c>
      <c r="L5">
        <v>1.28</v>
      </c>
      <c r="M5" s="3">
        <v>0.53</v>
      </c>
      <c r="N5">
        <v>0.65</v>
      </c>
      <c r="O5" s="1">
        <v>45664</v>
      </c>
      <c r="P5" s="3">
        <v>0</v>
      </c>
      <c r="Q5">
        <v>0</v>
      </c>
      <c r="R5" s="3">
        <v>0.04</v>
      </c>
      <c r="S5">
        <v>0.17</v>
      </c>
      <c r="T5" s="3">
        <v>0.04</v>
      </c>
      <c r="U5">
        <v>0.17</v>
      </c>
      <c r="V5" s="1">
        <v>45664</v>
      </c>
      <c r="W5" s="3">
        <v>0</v>
      </c>
      <c r="X5">
        <v>0</v>
      </c>
      <c r="Y5" s="3">
        <v>0.04</v>
      </c>
      <c r="Z5">
        <v>0.17</v>
      </c>
      <c r="AA5" s="3">
        <v>0</v>
      </c>
      <c r="AB5">
        <v>0</v>
      </c>
      <c r="AC5" s="1">
        <v>45664</v>
      </c>
      <c r="AD5" s="3">
        <v>0</v>
      </c>
      <c r="AE5">
        <v>0</v>
      </c>
      <c r="AF5" s="3">
        <v>0</v>
      </c>
      <c r="AG5">
        <v>0</v>
      </c>
      <c r="AH5" s="3">
        <v>0</v>
      </c>
      <c r="AI5">
        <v>0</v>
      </c>
      <c r="AJ5" s="1">
        <v>45670</v>
      </c>
      <c r="AK5" s="3">
        <v>0</v>
      </c>
      <c r="AL5">
        <v>0</v>
      </c>
      <c r="AM5" s="3">
        <v>0</v>
      </c>
      <c r="AN5">
        <v>0</v>
      </c>
      <c r="AO5" s="1">
        <v>45670</v>
      </c>
      <c r="AP5" s="3">
        <v>0</v>
      </c>
      <c r="AQ5">
        <v>0</v>
      </c>
      <c r="AR5" s="3">
        <v>0</v>
      </c>
      <c r="AS5">
        <v>0</v>
      </c>
    </row>
    <row r="6" spans="1:45" x14ac:dyDescent="0.3">
      <c r="A6" s="1">
        <v>45699</v>
      </c>
      <c r="B6" s="3">
        <v>0.16</v>
      </c>
      <c r="C6">
        <v>0.4</v>
      </c>
      <c r="D6" s="3">
        <v>0.19</v>
      </c>
      <c r="E6">
        <v>0.53</v>
      </c>
      <c r="F6" s="3">
        <v>0.03</v>
      </c>
      <c r="G6">
        <v>0.16</v>
      </c>
      <c r="H6" s="1">
        <v>45699</v>
      </c>
      <c r="I6" s="3">
        <v>0.03</v>
      </c>
      <c r="J6">
        <v>0.16</v>
      </c>
      <c r="K6" s="3">
        <v>0.13</v>
      </c>
      <c r="L6">
        <v>0.3</v>
      </c>
      <c r="M6" s="3">
        <v>0.28999999999999998</v>
      </c>
      <c r="N6">
        <v>0.45</v>
      </c>
      <c r="O6" s="1">
        <v>45700</v>
      </c>
      <c r="P6" s="3">
        <v>0</v>
      </c>
      <c r="Q6">
        <v>0</v>
      </c>
      <c r="R6" s="3">
        <v>0</v>
      </c>
      <c r="S6">
        <v>0</v>
      </c>
      <c r="T6" s="3">
        <v>0</v>
      </c>
      <c r="U6">
        <v>0</v>
      </c>
      <c r="V6" s="1">
        <v>45700</v>
      </c>
      <c r="W6" s="3">
        <v>0</v>
      </c>
      <c r="X6">
        <v>0</v>
      </c>
      <c r="Y6" s="3">
        <v>0</v>
      </c>
      <c r="Z6">
        <v>0</v>
      </c>
      <c r="AA6" s="3">
        <v>0</v>
      </c>
      <c r="AB6">
        <v>0</v>
      </c>
      <c r="AC6" s="1">
        <v>45700</v>
      </c>
      <c r="AD6" s="3">
        <v>0</v>
      </c>
      <c r="AE6">
        <v>0</v>
      </c>
      <c r="AF6" s="3">
        <v>0</v>
      </c>
      <c r="AG6">
        <v>0</v>
      </c>
      <c r="AH6" s="3">
        <v>0</v>
      </c>
      <c r="AI6">
        <v>0</v>
      </c>
      <c r="AJ6" s="1">
        <v>45691</v>
      </c>
      <c r="AK6" s="3">
        <v>0.04</v>
      </c>
      <c r="AL6">
        <v>0.24</v>
      </c>
      <c r="AM6" s="3">
        <v>0.22</v>
      </c>
      <c r="AN6">
        <v>1</v>
      </c>
      <c r="AO6" s="1">
        <v>45691</v>
      </c>
      <c r="AP6" s="3">
        <v>0.04</v>
      </c>
      <c r="AQ6">
        <v>0.24</v>
      </c>
      <c r="AR6" s="3">
        <v>0</v>
      </c>
      <c r="AS6">
        <v>0</v>
      </c>
    </row>
    <row r="7" spans="1:45" x14ac:dyDescent="0.3">
      <c r="A7" s="1">
        <v>45734</v>
      </c>
      <c r="B7" s="3">
        <v>0.63</v>
      </c>
      <c r="C7">
        <v>0.91</v>
      </c>
      <c r="D7" s="3">
        <v>0.5</v>
      </c>
      <c r="E7">
        <v>0.62</v>
      </c>
      <c r="F7" s="3">
        <v>0.73</v>
      </c>
      <c r="G7">
        <v>0.74</v>
      </c>
      <c r="H7" s="1">
        <v>45734</v>
      </c>
      <c r="I7" s="3">
        <v>1.6</v>
      </c>
      <c r="J7">
        <v>1.25</v>
      </c>
      <c r="K7" s="3">
        <v>1.03</v>
      </c>
      <c r="L7">
        <v>0.87</v>
      </c>
      <c r="M7" s="3">
        <v>0.67</v>
      </c>
      <c r="N7">
        <v>1.1200000000000001</v>
      </c>
      <c r="O7" s="1">
        <v>45734</v>
      </c>
      <c r="P7" s="3">
        <v>0</v>
      </c>
      <c r="Q7">
        <v>0</v>
      </c>
      <c r="R7" s="3">
        <v>0</v>
      </c>
      <c r="S7">
        <v>0</v>
      </c>
      <c r="T7" s="3">
        <v>0</v>
      </c>
      <c r="U7">
        <v>0</v>
      </c>
      <c r="V7" s="1">
        <v>45734</v>
      </c>
      <c r="W7" s="3">
        <v>0</v>
      </c>
      <c r="X7">
        <v>0</v>
      </c>
      <c r="Y7" s="3">
        <v>0</v>
      </c>
      <c r="Z7">
        <v>0</v>
      </c>
      <c r="AA7" s="3">
        <v>0</v>
      </c>
      <c r="AB7">
        <v>0</v>
      </c>
      <c r="AC7" s="1">
        <v>45734</v>
      </c>
      <c r="AD7" s="3">
        <v>0.03</v>
      </c>
      <c r="AE7">
        <v>0.17</v>
      </c>
      <c r="AF7" s="3">
        <v>0</v>
      </c>
      <c r="AG7">
        <v>0</v>
      </c>
      <c r="AH7" s="3">
        <v>0.03</v>
      </c>
      <c r="AI7">
        <v>0.17</v>
      </c>
      <c r="AJ7" s="1">
        <v>45719</v>
      </c>
      <c r="AK7" s="3">
        <v>0</v>
      </c>
      <c r="AL7">
        <v>0</v>
      </c>
      <c r="AM7" s="3">
        <v>0</v>
      </c>
      <c r="AN7">
        <v>0</v>
      </c>
      <c r="AO7" s="1">
        <v>45719</v>
      </c>
      <c r="AP7" s="3">
        <v>0</v>
      </c>
      <c r="AQ7">
        <v>0</v>
      </c>
      <c r="AR7" s="3">
        <v>0</v>
      </c>
      <c r="AS7">
        <v>0</v>
      </c>
    </row>
    <row r="8" spans="1:45" x14ac:dyDescent="0.3">
      <c r="A8" s="1">
        <v>45755</v>
      </c>
      <c r="B8" s="3">
        <v>15.5</v>
      </c>
      <c r="C8">
        <v>14.1</v>
      </c>
      <c r="D8" s="3">
        <v>13</v>
      </c>
      <c r="E8">
        <v>12.38</v>
      </c>
      <c r="F8" s="3">
        <v>15.17</v>
      </c>
      <c r="G8">
        <v>11.04</v>
      </c>
      <c r="H8" s="1">
        <v>45755</v>
      </c>
      <c r="I8" s="3">
        <v>2.33</v>
      </c>
      <c r="J8">
        <v>2.27</v>
      </c>
      <c r="K8" s="3">
        <v>3.5</v>
      </c>
      <c r="L8">
        <v>5.39</v>
      </c>
      <c r="M8" s="3">
        <v>1.5</v>
      </c>
      <c r="N8">
        <v>1.68</v>
      </c>
      <c r="O8" s="1">
        <v>45756</v>
      </c>
      <c r="P8" s="3">
        <v>0</v>
      </c>
      <c r="Q8">
        <v>0</v>
      </c>
      <c r="R8" s="3">
        <v>0</v>
      </c>
      <c r="S8">
        <v>0</v>
      </c>
      <c r="T8" s="3">
        <v>0.11</v>
      </c>
      <c r="U8">
        <v>0.36</v>
      </c>
      <c r="V8" s="1">
        <v>45756</v>
      </c>
      <c r="W8" s="3">
        <v>0.05</v>
      </c>
      <c r="X8">
        <v>0.26</v>
      </c>
      <c r="Y8" s="3">
        <v>0</v>
      </c>
      <c r="Z8">
        <v>0</v>
      </c>
      <c r="AA8" s="3">
        <v>0</v>
      </c>
      <c r="AB8">
        <v>0</v>
      </c>
      <c r="AC8" s="1">
        <v>45756</v>
      </c>
      <c r="AD8" s="3">
        <v>0.05</v>
      </c>
      <c r="AE8">
        <v>0.26</v>
      </c>
      <c r="AF8" s="3">
        <v>0</v>
      </c>
      <c r="AG8">
        <v>0</v>
      </c>
      <c r="AH8" s="3">
        <v>0</v>
      </c>
      <c r="AI8">
        <v>0</v>
      </c>
      <c r="AJ8" s="1">
        <v>45762</v>
      </c>
      <c r="AK8" s="3">
        <v>0.02</v>
      </c>
      <c r="AL8">
        <v>0.12</v>
      </c>
      <c r="AM8" s="3">
        <v>0</v>
      </c>
      <c r="AN8">
        <v>0</v>
      </c>
      <c r="AO8" s="1">
        <v>45762</v>
      </c>
      <c r="AP8" s="3">
        <v>1.26</v>
      </c>
      <c r="AQ8">
        <v>1.24</v>
      </c>
      <c r="AR8" s="3">
        <v>0.04</v>
      </c>
      <c r="AS8">
        <v>0.17</v>
      </c>
    </row>
    <row r="9" spans="1:45" x14ac:dyDescent="0.3">
      <c r="A9" s="1">
        <v>45783</v>
      </c>
      <c r="B9" s="3">
        <v>1.96</v>
      </c>
      <c r="C9">
        <v>2.58</v>
      </c>
      <c r="D9" s="3">
        <v>17.579999999999998</v>
      </c>
      <c r="E9">
        <v>10.47</v>
      </c>
      <c r="F9" s="3">
        <v>18.62</v>
      </c>
      <c r="G9">
        <v>12.53</v>
      </c>
      <c r="H9" s="1">
        <v>45783</v>
      </c>
      <c r="I9" s="3">
        <v>1.96</v>
      </c>
      <c r="J9">
        <v>2.0499999999999998</v>
      </c>
      <c r="K9" s="3">
        <v>2.21</v>
      </c>
      <c r="L9">
        <v>1.91</v>
      </c>
      <c r="M9" s="3">
        <v>1.29</v>
      </c>
      <c r="N9">
        <v>1.43</v>
      </c>
      <c r="O9" s="1">
        <v>45784</v>
      </c>
      <c r="P9" s="3">
        <v>0.12</v>
      </c>
      <c r="Q9">
        <v>0.34</v>
      </c>
      <c r="R9" s="3">
        <v>3.88</v>
      </c>
      <c r="S9">
        <v>7.96</v>
      </c>
      <c r="T9" s="3">
        <v>0.79</v>
      </c>
      <c r="U9">
        <v>0.93</v>
      </c>
      <c r="V9" s="1">
        <v>45784</v>
      </c>
      <c r="W9" s="3">
        <v>0.33</v>
      </c>
      <c r="X9">
        <v>0.82</v>
      </c>
      <c r="Y9" s="3">
        <v>0.17</v>
      </c>
      <c r="Z9">
        <v>0.38</v>
      </c>
      <c r="AA9" s="3">
        <v>0.28999999999999998</v>
      </c>
      <c r="AB9">
        <v>0.91</v>
      </c>
      <c r="AC9" s="1">
        <v>45784</v>
      </c>
      <c r="AD9" s="3">
        <v>0.17</v>
      </c>
      <c r="AE9">
        <v>0.64</v>
      </c>
      <c r="AF9" s="3">
        <v>0.46</v>
      </c>
      <c r="AG9">
        <v>1.02</v>
      </c>
      <c r="AH9" s="3">
        <v>0</v>
      </c>
      <c r="AI9">
        <v>0</v>
      </c>
      <c r="AJ9" s="1">
        <v>45791</v>
      </c>
      <c r="AK9" s="3">
        <v>2.19</v>
      </c>
      <c r="AL9">
        <v>1.7</v>
      </c>
      <c r="AM9" s="3">
        <v>3.09</v>
      </c>
      <c r="AN9">
        <v>2.42</v>
      </c>
      <c r="AO9" s="1">
        <v>45791</v>
      </c>
      <c r="AP9" s="3">
        <v>4.7300000000000004</v>
      </c>
      <c r="AQ9">
        <v>6.39</v>
      </c>
      <c r="AR9" s="3">
        <v>1</v>
      </c>
      <c r="AS9">
        <v>1.8</v>
      </c>
    </row>
    <row r="10" spans="1:45" x14ac:dyDescent="0.3">
      <c r="A10" s="1">
        <v>45818</v>
      </c>
      <c r="B10" s="3">
        <v>8.67</v>
      </c>
      <c r="C10">
        <v>4.09</v>
      </c>
      <c r="D10" s="3">
        <v>33.729999999999997</v>
      </c>
      <c r="E10">
        <v>10.59</v>
      </c>
      <c r="F10" s="3">
        <v>36.270000000000003</v>
      </c>
      <c r="G10">
        <v>13.33</v>
      </c>
      <c r="H10" s="1">
        <v>45818</v>
      </c>
      <c r="I10" s="3">
        <v>25.6</v>
      </c>
      <c r="J10">
        <v>10.95</v>
      </c>
      <c r="K10" s="3">
        <v>52.03</v>
      </c>
      <c r="L10">
        <v>20.8</v>
      </c>
      <c r="M10" s="3">
        <v>19</v>
      </c>
      <c r="N10">
        <v>8.3800000000000008</v>
      </c>
      <c r="O10" s="1">
        <v>45819</v>
      </c>
      <c r="P10" s="3">
        <v>17.670000000000002</v>
      </c>
      <c r="Q10">
        <v>10.119999999999999</v>
      </c>
      <c r="R10" s="3">
        <v>48.43</v>
      </c>
      <c r="S10">
        <v>30.46</v>
      </c>
      <c r="T10" s="3">
        <v>19.77</v>
      </c>
      <c r="U10">
        <v>10.51</v>
      </c>
      <c r="V10" s="1">
        <v>45819</v>
      </c>
      <c r="W10" s="3">
        <v>1.7</v>
      </c>
      <c r="X10">
        <v>1.5</v>
      </c>
      <c r="Y10" s="3">
        <v>11.9</v>
      </c>
      <c r="Z10">
        <v>15.07</v>
      </c>
      <c r="AA10" s="3">
        <v>0.63</v>
      </c>
      <c r="AB10">
        <v>0.85</v>
      </c>
      <c r="AC10" s="1">
        <v>45819</v>
      </c>
      <c r="AD10" s="3">
        <v>0.37</v>
      </c>
      <c r="AE10">
        <v>0.57999999999999996</v>
      </c>
      <c r="AF10" s="3">
        <v>35.4</v>
      </c>
      <c r="AG10">
        <v>29.39</v>
      </c>
      <c r="AH10" s="3">
        <v>2.77</v>
      </c>
      <c r="AI10">
        <v>2.77</v>
      </c>
      <c r="AJ10" s="1">
        <v>45825</v>
      </c>
      <c r="AK10" s="3">
        <v>0.27</v>
      </c>
      <c r="AL10">
        <v>0.59</v>
      </c>
      <c r="AM10" s="3">
        <v>6.15</v>
      </c>
      <c r="AN10">
        <v>4.7699999999999996</v>
      </c>
      <c r="AO10" s="1">
        <v>45825</v>
      </c>
      <c r="AP10" s="3">
        <v>8.1</v>
      </c>
      <c r="AQ10">
        <v>5.04</v>
      </c>
      <c r="AR10" s="3">
        <v>6.4</v>
      </c>
      <c r="AS10">
        <v>4.57</v>
      </c>
    </row>
    <row r="11" spans="1:45" x14ac:dyDescent="0.3">
      <c r="A11" s="1">
        <v>45846</v>
      </c>
      <c r="B11" s="3">
        <v>6.25</v>
      </c>
      <c r="C11">
        <v>2.98</v>
      </c>
      <c r="D11" s="3">
        <v>19.71</v>
      </c>
      <c r="E11">
        <v>15.8</v>
      </c>
      <c r="F11" s="3">
        <v>18.420000000000002</v>
      </c>
      <c r="G11">
        <v>10.9</v>
      </c>
      <c r="H11" s="1">
        <v>45846</v>
      </c>
      <c r="I11" s="3">
        <v>5.29</v>
      </c>
      <c r="J11">
        <v>4.41</v>
      </c>
      <c r="K11" s="3">
        <v>8.3800000000000008</v>
      </c>
      <c r="L11">
        <v>4.8499999999999996</v>
      </c>
      <c r="M11" s="3">
        <v>5.42</v>
      </c>
      <c r="N11">
        <v>4.4800000000000004</v>
      </c>
      <c r="O11" s="1">
        <v>45847</v>
      </c>
      <c r="P11" s="3">
        <v>1.61</v>
      </c>
      <c r="Q11">
        <v>1.85</v>
      </c>
      <c r="R11" s="3">
        <v>6.83</v>
      </c>
      <c r="S11">
        <v>5.48</v>
      </c>
      <c r="T11" s="3">
        <v>0.75</v>
      </c>
      <c r="U11">
        <v>1.07</v>
      </c>
      <c r="V11" s="1">
        <v>45847</v>
      </c>
      <c r="W11" s="3">
        <v>0.04</v>
      </c>
      <c r="X11">
        <v>0.2</v>
      </c>
      <c r="Y11" s="3">
        <v>3.12</v>
      </c>
      <c r="Z11">
        <v>4.9800000000000004</v>
      </c>
      <c r="AA11" s="3">
        <v>0.12</v>
      </c>
      <c r="AB11">
        <v>0.34</v>
      </c>
      <c r="AC11" s="1">
        <v>45847</v>
      </c>
      <c r="AD11" s="3">
        <v>0.04</v>
      </c>
      <c r="AE11">
        <v>0.2</v>
      </c>
      <c r="AF11" s="3">
        <v>1.04</v>
      </c>
      <c r="AG11">
        <v>2.68</v>
      </c>
      <c r="AH11" s="3">
        <v>0.04</v>
      </c>
      <c r="AI11">
        <v>0.2</v>
      </c>
      <c r="AJ11" s="1">
        <v>45862</v>
      </c>
      <c r="AK11" s="3">
        <v>2.09</v>
      </c>
      <c r="AL11">
        <v>1.85</v>
      </c>
      <c r="AM11" s="3">
        <v>0.88</v>
      </c>
      <c r="AN11">
        <v>1.5</v>
      </c>
      <c r="AO11" s="1">
        <v>45862</v>
      </c>
      <c r="AP11" s="3">
        <v>8.07</v>
      </c>
      <c r="AQ11">
        <v>4.7</v>
      </c>
      <c r="AR11" s="3">
        <v>4.1399999999999997</v>
      </c>
      <c r="AS11">
        <v>2.46</v>
      </c>
    </row>
    <row r="12" spans="1:45" x14ac:dyDescent="0.3">
      <c r="A12" s="1">
        <v>45874</v>
      </c>
      <c r="B12" s="3">
        <v>10.71</v>
      </c>
      <c r="C12">
        <v>4.97</v>
      </c>
      <c r="D12" s="3">
        <v>34.42</v>
      </c>
      <c r="E12">
        <v>11.42</v>
      </c>
      <c r="F12" s="3">
        <v>17.670000000000002</v>
      </c>
      <c r="G12">
        <v>7.15</v>
      </c>
      <c r="H12" s="1">
        <v>45874</v>
      </c>
      <c r="I12" s="3">
        <v>4.04</v>
      </c>
      <c r="J12">
        <v>2.0499999999999998</v>
      </c>
      <c r="K12" s="3">
        <v>15.83</v>
      </c>
      <c r="L12">
        <v>6.84</v>
      </c>
      <c r="M12" s="3">
        <v>5.38</v>
      </c>
      <c r="N12">
        <v>2.4500000000000002</v>
      </c>
      <c r="O12" s="1">
        <v>45875</v>
      </c>
      <c r="P12" s="3">
        <v>0.33</v>
      </c>
      <c r="Q12">
        <v>0.56000000000000005</v>
      </c>
      <c r="R12" s="3">
        <v>0.08</v>
      </c>
      <c r="S12">
        <v>0.28000000000000003</v>
      </c>
      <c r="T12" s="3">
        <v>0.17</v>
      </c>
      <c r="U12">
        <v>0.38</v>
      </c>
      <c r="V12" s="1">
        <v>45875</v>
      </c>
      <c r="W12" s="3">
        <v>0</v>
      </c>
      <c r="X12">
        <v>0</v>
      </c>
      <c r="Y12" s="3">
        <v>0.04</v>
      </c>
      <c r="Z12">
        <v>0.2</v>
      </c>
      <c r="AA12" s="3">
        <v>0</v>
      </c>
      <c r="AB12">
        <v>0</v>
      </c>
      <c r="AC12" s="1">
        <v>45875</v>
      </c>
      <c r="AD12" s="3">
        <v>0.04</v>
      </c>
      <c r="AE12">
        <v>0.2</v>
      </c>
      <c r="AF12" s="3">
        <v>0.21</v>
      </c>
      <c r="AG12">
        <v>0.51</v>
      </c>
      <c r="AH12" s="3">
        <v>0</v>
      </c>
      <c r="AI12">
        <v>0</v>
      </c>
      <c r="AJ12" s="1">
        <v>45890</v>
      </c>
      <c r="AK12" s="3">
        <v>41.77</v>
      </c>
      <c r="AL12">
        <v>16.78</v>
      </c>
      <c r="AM12" s="3">
        <v>39.130000000000003</v>
      </c>
      <c r="AN12">
        <v>18.25</v>
      </c>
      <c r="AO12" s="1">
        <v>45890</v>
      </c>
      <c r="AP12" s="3">
        <v>27.7</v>
      </c>
      <c r="AQ12">
        <v>10.81</v>
      </c>
      <c r="AR12" s="3">
        <v>18.100000000000001</v>
      </c>
      <c r="AS12">
        <v>7.35</v>
      </c>
    </row>
    <row r="13" spans="1:45" x14ac:dyDescent="0.3">
      <c r="A13" s="1">
        <v>45903</v>
      </c>
      <c r="B13" s="3">
        <v>9.74</v>
      </c>
      <c r="C13">
        <v>6.11</v>
      </c>
      <c r="D13" s="3">
        <v>20.88</v>
      </c>
      <c r="E13">
        <v>7.41</v>
      </c>
      <c r="F13" s="3">
        <v>43.77</v>
      </c>
      <c r="G13">
        <v>16.43</v>
      </c>
      <c r="H13" s="1">
        <v>45904</v>
      </c>
      <c r="I13" s="3">
        <v>7</v>
      </c>
      <c r="J13">
        <v>4.2</v>
      </c>
      <c r="K13" s="3">
        <v>13.46</v>
      </c>
      <c r="L13">
        <v>5.57</v>
      </c>
      <c r="M13" s="3">
        <v>8.09</v>
      </c>
      <c r="N13">
        <v>3.02</v>
      </c>
      <c r="O13" s="1">
        <v>45903</v>
      </c>
      <c r="P13" s="3">
        <v>1.1200000000000001</v>
      </c>
      <c r="Q13">
        <v>1.03</v>
      </c>
      <c r="R13" s="3">
        <v>0.38</v>
      </c>
      <c r="S13">
        <v>0.82</v>
      </c>
      <c r="T13" s="3">
        <v>1.25</v>
      </c>
      <c r="U13">
        <v>1.03</v>
      </c>
      <c r="V13" s="1">
        <v>45903</v>
      </c>
      <c r="W13" s="3">
        <v>0.33</v>
      </c>
      <c r="X13">
        <v>0.56000000000000005</v>
      </c>
      <c r="Y13" s="3">
        <v>0.54</v>
      </c>
      <c r="Z13">
        <v>1.06</v>
      </c>
      <c r="AA13" s="3">
        <v>0.46</v>
      </c>
      <c r="AB13">
        <v>0.66</v>
      </c>
      <c r="AC13" s="1">
        <v>45903</v>
      </c>
      <c r="AD13" s="3">
        <v>0.75</v>
      </c>
      <c r="AE13">
        <v>0.85</v>
      </c>
      <c r="AF13" s="3">
        <v>0.42</v>
      </c>
      <c r="AG13">
        <v>0.78</v>
      </c>
      <c r="AH13" s="3">
        <v>0.04</v>
      </c>
      <c r="AI13">
        <v>0.2</v>
      </c>
      <c r="AJ13" s="1">
        <v>45916</v>
      </c>
      <c r="AK13" s="3">
        <v>4.45</v>
      </c>
      <c r="AL13">
        <v>4.0199999999999996</v>
      </c>
      <c r="AM13" s="3">
        <v>12.21</v>
      </c>
      <c r="AN13">
        <v>8.2799999999999994</v>
      </c>
      <c r="AO13" s="1">
        <v>45916</v>
      </c>
      <c r="AP13" s="3">
        <v>18.52</v>
      </c>
      <c r="AQ13">
        <v>6.82</v>
      </c>
      <c r="AR13" s="3">
        <v>5.49</v>
      </c>
      <c r="AS13">
        <v>4.38</v>
      </c>
    </row>
    <row r="18" spans="1:11" x14ac:dyDescent="0.3">
      <c r="A18" t="s">
        <v>58</v>
      </c>
      <c r="B18" t="s">
        <v>59</v>
      </c>
      <c r="C18" t="s">
        <v>60</v>
      </c>
      <c r="D18" t="s">
        <v>30</v>
      </c>
      <c r="E18" t="s">
        <v>31</v>
      </c>
      <c r="F18" t="s">
        <v>61</v>
      </c>
      <c r="G18" t="s">
        <v>62</v>
      </c>
      <c r="H18" t="s">
        <v>63</v>
      </c>
    </row>
    <row r="19" spans="1:11" x14ac:dyDescent="0.3">
      <c r="A19" t="s">
        <v>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11" x14ac:dyDescent="0.3">
      <c r="A20" t="s">
        <v>3</v>
      </c>
      <c r="B20">
        <v>65.33</v>
      </c>
      <c r="C20">
        <v>72.58</v>
      </c>
      <c r="D20">
        <v>43.77</v>
      </c>
      <c r="E20">
        <v>52.03</v>
      </c>
      <c r="F20">
        <v>48.43</v>
      </c>
      <c r="G20">
        <v>11.9</v>
      </c>
      <c r="H20">
        <v>35.4</v>
      </c>
    </row>
    <row r="21" spans="1:11" x14ac:dyDescent="0.3">
      <c r="A21" t="s">
        <v>4</v>
      </c>
      <c r="B21">
        <v>8.35</v>
      </c>
      <c r="C21">
        <v>11.6</v>
      </c>
      <c r="D21">
        <v>9.69</v>
      </c>
      <c r="E21">
        <v>5.35</v>
      </c>
      <c r="F21">
        <v>2.91</v>
      </c>
      <c r="G21">
        <v>0.55000000000000004</v>
      </c>
      <c r="H21">
        <v>1.1599999999999999</v>
      </c>
    </row>
    <row r="23" spans="1:11" x14ac:dyDescent="0.3">
      <c r="A23" t="s">
        <v>58</v>
      </c>
      <c r="B23" t="s">
        <v>29</v>
      </c>
      <c r="C23" t="s">
        <v>28</v>
      </c>
      <c r="D23" t="s">
        <v>5</v>
      </c>
    </row>
    <row r="24" spans="1:11" x14ac:dyDescent="0.3">
      <c r="A24" t="s">
        <v>2</v>
      </c>
      <c r="B24">
        <v>0</v>
      </c>
      <c r="C24">
        <v>0</v>
      </c>
      <c r="D24">
        <v>0</v>
      </c>
    </row>
    <row r="25" spans="1:11" x14ac:dyDescent="0.3">
      <c r="A25" t="s">
        <v>3</v>
      </c>
      <c r="B25">
        <v>72.58</v>
      </c>
      <c r="C25">
        <v>52.03</v>
      </c>
      <c r="D25">
        <v>48.43</v>
      </c>
    </row>
    <row r="26" spans="1:11" x14ac:dyDescent="0.3">
      <c r="A26" t="s">
        <v>4</v>
      </c>
      <c r="B26">
        <v>9.98</v>
      </c>
      <c r="C26">
        <v>7.52</v>
      </c>
      <c r="D26">
        <v>1.54</v>
      </c>
    </row>
    <row r="29" spans="1:11" x14ac:dyDescent="0.3">
      <c r="E29" s="3" t="s">
        <v>30</v>
      </c>
      <c r="F29" s="3" t="s">
        <v>31</v>
      </c>
      <c r="G29" s="3" t="s">
        <v>61</v>
      </c>
      <c r="H29" s="3" t="s">
        <v>62</v>
      </c>
      <c r="I29" s="3" t="s">
        <v>63</v>
      </c>
      <c r="J29" s="3" t="s">
        <v>59</v>
      </c>
      <c r="K29" s="3" t="s">
        <v>60</v>
      </c>
    </row>
    <row r="30" spans="1:11" x14ac:dyDescent="0.3">
      <c r="D30" s="1">
        <v>45567</v>
      </c>
      <c r="E30" s="17">
        <f>AVERAGE(B2,D2,F2)</f>
        <v>0.11333333333333334</v>
      </c>
      <c r="F30" s="17">
        <f>AVERAGE(I2,K2,M2)</f>
        <v>0.13666666666666666</v>
      </c>
      <c r="G30" s="17">
        <f>AVERAGE(P2,R2,T2)</f>
        <v>0.19999999999999998</v>
      </c>
      <c r="H30" s="17">
        <f>AVERAGE(W2,Y2,AA2)</f>
        <v>0</v>
      </c>
      <c r="I30" s="17">
        <f>AVERAGE(AD2,AF2,AH2)</f>
        <v>0</v>
      </c>
      <c r="J30" s="5">
        <f>AVERAGE(AK2,AM2)</f>
        <v>1.01</v>
      </c>
      <c r="K30" s="5">
        <f>AVERAGE(AP2,AR2)</f>
        <v>14.955</v>
      </c>
    </row>
    <row r="31" spans="1:11" x14ac:dyDescent="0.3">
      <c r="D31" s="1">
        <v>45601</v>
      </c>
      <c r="E31" s="17">
        <f t="shared" ref="E31:E41" si="0">AVERAGE(B3,D3,F3)</f>
        <v>4.3333333333333335E-2</v>
      </c>
      <c r="F31" s="17">
        <f t="shared" ref="F31:F41" si="1">AVERAGE(I3,K3,M3)</f>
        <v>0.29666666666666669</v>
      </c>
      <c r="G31" s="17">
        <f t="shared" ref="G31:G41" si="2">AVERAGE(P3,R3,T3)</f>
        <v>0.22666666666666668</v>
      </c>
      <c r="H31" s="17">
        <f t="shared" ref="H31:H41" si="3">AVERAGE(W3,Y3,AA3)</f>
        <v>2.3333333333333334E-2</v>
      </c>
      <c r="I31" s="17">
        <f t="shared" ref="I31:I41" si="4">AVERAGE(AD3,AF3,AH3)</f>
        <v>0.01</v>
      </c>
      <c r="J31" s="5">
        <f t="shared" ref="J31:J41" si="5">AVERAGE(AK3,AM3)</f>
        <v>42.575000000000003</v>
      </c>
      <c r="K31" s="5">
        <f t="shared" ref="K31:K41" si="6">AVERAGE(AP3,AR3)</f>
        <v>71.78</v>
      </c>
    </row>
    <row r="32" spans="1:11" x14ac:dyDescent="0.3">
      <c r="D32" s="1">
        <v>45630</v>
      </c>
      <c r="E32" s="17">
        <f t="shared" si="0"/>
        <v>0.48</v>
      </c>
      <c r="F32" s="17">
        <f t="shared" si="1"/>
        <v>0.84333333333333327</v>
      </c>
      <c r="G32" s="17">
        <f t="shared" si="2"/>
        <v>2.6666666666666668E-2</v>
      </c>
      <c r="H32" s="17">
        <f t="shared" si="3"/>
        <v>0</v>
      </c>
      <c r="I32" s="17">
        <f t="shared" si="4"/>
        <v>1.3333333333333334E-2</v>
      </c>
      <c r="J32" s="18">
        <f t="shared" si="5"/>
        <v>0.34500000000000003</v>
      </c>
      <c r="K32" s="18">
        <f t="shared" si="6"/>
        <v>0.69500000000000006</v>
      </c>
    </row>
    <row r="33" spans="4:11" x14ac:dyDescent="0.3">
      <c r="D33" s="1">
        <v>45663</v>
      </c>
      <c r="E33" s="17">
        <f t="shared" si="0"/>
        <v>0.91999999999999993</v>
      </c>
      <c r="F33" s="17">
        <f t="shared" si="1"/>
        <v>0.93333333333333324</v>
      </c>
      <c r="G33" s="17">
        <f t="shared" si="2"/>
        <v>2.6666666666666668E-2</v>
      </c>
      <c r="H33" s="17">
        <f t="shared" si="3"/>
        <v>1.3333333333333334E-2</v>
      </c>
      <c r="I33" s="17">
        <f t="shared" si="4"/>
        <v>0</v>
      </c>
      <c r="J33" s="18">
        <f t="shared" si="5"/>
        <v>0</v>
      </c>
      <c r="K33" s="18">
        <f t="shared" si="6"/>
        <v>0</v>
      </c>
    </row>
    <row r="34" spans="4:11" x14ac:dyDescent="0.3">
      <c r="D34" s="1">
        <v>45699</v>
      </c>
      <c r="E34" s="17">
        <f t="shared" si="0"/>
        <v>0.12666666666666668</v>
      </c>
      <c r="F34" s="17">
        <f t="shared" si="1"/>
        <v>0.15</v>
      </c>
      <c r="G34" s="17">
        <f t="shared" si="2"/>
        <v>0</v>
      </c>
      <c r="H34" s="17">
        <f t="shared" si="3"/>
        <v>0</v>
      </c>
      <c r="I34" s="17">
        <f t="shared" si="4"/>
        <v>0</v>
      </c>
      <c r="J34" s="18">
        <f t="shared" si="5"/>
        <v>0.13</v>
      </c>
      <c r="K34" s="18">
        <f t="shared" si="6"/>
        <v>0.02</v>
      </c>
    </row>
    <row r="35" spans="4:11" x14ac:dyDescent="0.3">
      <c r="D35" s="1">
        <v>45734</v>
      </c>
      <c r="E35" s="17">
        <f t="shared" si="0"/>
        <v>0.62</v>
      </c>
      <c r="F35" s="17">
        <f t="shared" si="1"/>
        <v>1.0999999999999999</v>
      </c>
      <c r="G35" s="17">
        <f t="shared" si="2"/>
        <v>0</v>
      </c>
      <c r="H35" s="17">
        <f t="shared" si="3"/>
        <v>0</v>
      </c>
      <c r="I35" s="17">
        <f t="shared" si="4"/>
        <v>0.02</v>
      </c>
      <c r="J35" s="18">
        <f t="shared" si="5"/>
        <v>0</v>
      </c>
      <c r="K35" s="18">
        <f t="shared" si="6"/>
        <v>0</v>
      </c>
    </row>
    <row r="36" spans="4:11" x14ac:dyDescent="0.3">
      <c r="D36" s="1">
        <v>45755</v>
      </c>
      <c r="E36" s="5">
        <f t="shared" si="0"/>
        <v>14.556666666666667</v>
      </c>
      <c r="F36" s="17">
        <f t="shared" si="1"/>
        <v>2.4433333333333334</v>
      </c>
      <c r="G36" s="17">
        <f t="shared" si="2"/>
        <v>3.6666666666666667E-2</v>
      </c>
      <c r="H36" s="17">
        <f t="shared" si="3"/>
        <v>1.6666666666666666E-2</v>
      </c>
      <c r="I36" s="17">
        <f t="shared" si="4"/>
        <v>1.6666666666666666E-2</v>
      </c>
      <c r="J36" s="18">
        <f t="shared" si="5"/>
        <v>0.01</v>
      </c>
      <c r="K36" s="18">
        <f t="shared" si="6"/>
        <v>0.65</v>
      </c>
    </row>
    <row r="37" spans="4:11" x14ac:dyDescent="0.3">
      <c r="D37" s="1">
        <v>45783</v>
      </c>
      <c r="E37" s="5">
        <f t="shared" si="0"/>
        <v>12.719999999999999</v>
      </c>
      <c r="F37" s="17">
        <f t="shared" si="1"/>
        <v>1.82</v>
      </c>
      <c r="G37" s="17">
        <f t="shared" si="2"/>
        <v>1.5966666666666667</v>
      </c>
      <c r="H37" s="17">
        <f t="shared" si="3"/>
        <v>0.26333333333333336</v>
      </c>
      <c r="I37" s="17">
        <f t="shared" si="4"/>
        <v>0.21</v>
      </c>
      <c r="J37" s="18">
        <f t="shared" si="5"/>
        <v>2.6399999999999997</v>
      </c>
      <c r="K37" s="18">
        <f t="shared" si="6"/>
        <v>2.8650000000000002</v>
      </c>
    </row>
    <row r="38" spans="4:11" x14ac:dyDescent="0.3">
      <c r="D38" s="1">
        <v>45818</v>
      </c>
      <c r="E38" s="5">
        <f t="shared" si="0"/>
        <v>26.223333333333333</v>
      </c>
      <c r="F38" s="5">
        <f t="shared" si="1"/>
        <v>32.21</v>
      </c>
      <c r="G38" s="5">
        <f t="shared" si="2"/>
        <v>28.623333333333331</v>
      </c>
      <c r="H38" s="5">
        <f t="shared" si="3"/>
        <v>4.7433333333333332</v>
      </c>
      <c r="I38" s="5">
        <f t="shared" si="4"/>
        <v>12.846666666666666</v>
      </c>
      <c r="J38" s="18">
        <f t="shared" si="5"/>
        <v>3.21</v>
      </c>
      <c r="K38" s="18">
        <f t="shared" si="6"/>
        <v>7.25</v>
      </c>
    </row>
    <row r="39" spans="4:11" x14ac:dyDescent="0.3">
      <c r="D39" s="1">
        <v>45846</v>
      </c>
      <c r="E39" s="5">
        <f t="shared" si="0"/>
        <v>14.793333333333335</v>
      </c>
      <c r="F39" s="5">
        <f t="shared" si="1"/>
        <v>6.3633333333333342</v>
      </c>
      <c r="G39" s="5">
        <f t="shared" si="2"/>
        <v>3.063333333333333</v>
      </c>
      <c r="H39" s="5">
        <f t="shared" si="3"/>
        <v>1.0933333333333335</v>
      </c>
      <c r="I39" s="5">
        <f t="shared" si="4"/>
        <v>0.37333333333333335</v>
      </c>
      <c r="J39" s="18">
        <f t="shared" si="5"/>
        <v>1.4849999999999999</v>
      </c>
      <c r="K39" s="18">
        <f t="shared" si="6"/>
        <v>6.1050000000000004</v>
      </c>
    </row>
    <row r="40" spans="4:11" x14ac:dyDescent="0.3">
      <c r="D40" s="1">
        <v>45874</v>
      </c>
      <c r="E40" s="5">
        <f t="shared" si="0"/>
        <v>20.933333333333334</v>
      </c>
      <c r="F40" s="5">
        <f t="shared" si="1"/>
        <v>8.4166666666666661</v>
      </c>
      <c r="G40" s="5">
        <f t="shared" si="2"/>
        <v>0.19333333333333336</v>
      </c>
      <c r="H40" s="5">
        <f t="shared" si="3"/>
        <v>1.3333333333333334E-2</v>
      </c>
      <c r="I40" s="5">
        <f t="shared" si="4"/>
        <v>8.3333333333333329E-2</v>
      </c>
      <c r="J40" s="5">
        <f t="shared" si="5"/>
        <v>40.450000000000003</v>
      </c>
      <c r="K40" s="5">
        <f t="shared" si="6"/>
        <v>22.9</v>
      </c>
    </row>
    <row r="41" spans="4:11" x14ac:dyDescent="0.3">
      <c r="D41" s="1">
        <v>45903</v>
      </c>
      <c r="E41" s="5">
        <f t="shared" si="0"/>
        <v>24.796666666666667</v>
      </c>
      <c r="F41" s="5">
        <f t="shared" si="1"/>
        <v>9.5166666666666675</v>
      </c>
      <c r="G41" s="5">
        <f t="shared" si="2"/>
        <v>0.91666666666666663</v>
      </c>
      <c r="H41" s="5">
        <f t="shared" si="3"/>
        <v>0.44333333333333336</v>
      </c>
      <c r="I41" s="5">
        <f t="shared" si="4"/>
        <v>0.40333333333333332</v>
      </c>
      <c r="J41" s="5">
        <f t="shared" si="5"/>
        <v>8.33</v>
      </c>
      <c r="K41" s="5">
        <f t="shared" si="6"/>
        <v>12.004999999999999</v>
      </c>
    </row>
  </sheetData>
  <conditionalFormatting sqref="B2:B13 D2:D13 F2:F13 I2:I13 K2:K13 M2:M13 P2:P13 R2:R13 T2:T13 W2:W13 Y2:Y13 AA2:AA13 AD2:AD13 AF2:AF13 AH2:AH13 AK2:AK13 AM2:AM13 AP2:AP13 AR2:AR13">
    <cfRule type="cellIs" dxfId="9" priority="1" operator="equal">
      <formula>0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3"/>
  <sheetViews>
    <sheetView zoomScale="90" zoomScaleNormal="90" workbookViewId="0">
      <selection activeCell="F4" sqref="F4:F6"/>
    </sheetView>
  </sheetViews>
  <sheetFormatPr defaultColWidth="11.44140625" defaultRowHeight="14.4" x14ac:dyDescent="0.3"/>
  <cols>
    <col min="2" max="2" width="8.88671875" bestFit="1" customWidth="1"/>
    <col min="3" max="3" width="9.44140625" bestFit="1" customWidth="1"/>
    <col min="4" max="4" width="8.88671875" bestFit="1" customWidth="1"/>
    <col min="5" max="5" width="9.33203125" style="7" bestFit="1" customWidth="1"/>
    <col min="6" max="6" width="8.44140625" bestFit="1" customWidth="1"/>
    <col min="7" max="7" width="9" bestFit="1" customWidth="1"/>
    <col min="8" max="8" width="8.44140625" bestFit="1" customWidth="1"/>
    <col min="9" max="9" width="8.88671875" style="7" bestFit="1" customWidth="1"/>
    <col min="10" max="10" width="8.44140625" bestFit="1" customWidth="1"/>
    <col min="11" max="11" width="9" bestFit="1" customWidth="1"/>
    <col min="12" max="12" width="8.44140625" bestFit="1" customWidth="1"/>
    <col min="13" max="13" width="8.88671875" style="7" bestFit="1" customWidth="1"/>
    <col min="14" max="14" width="8.6640625" bestFit="1" customWidth="1"/>
    <col min="15" max="15" width="9.33203125" bestFit="1" customWidth="1"/>
    <col min="16" max="16" width="8.6640625" bestFit="1" customWidth="1"/>
    <col min="17" max="17" width="9.109375" style="7" bestFit="1" customWidth="1"/>
    <col min="18" max="18" width="8.33203125" bestFit="1" customWidth="1"/>
    <col min="19" max="19" width="8.88671875" bestFit="1" customWidth="1"/>
    <col min="20" max="20" width="8.33203125" bestFit="1" customWidth="1"/>
    <col min="21" max="21" width="8.6640625" style="7" bestFit="1" customWidth="1"/>
    <col min="22" max="22" width="8.6640625" bestFit="1" customWidth="1"/>
    <col min="23" max="23" width="9.33203125" bestFit="1" customWidth="1"/>
    <col min="24" max="24" width="8.6640625" bestFit="1" customWidth="1"/>
    <col min="25" max="25" width="9.109375" style="7" bestFit="1" customWidth="1"/>
    <col min="26" max="26" width="9.5546875" bestFit="1" customWidth="1"/>
    <col min="27" max="27" width="10.109375" bestFit="1" customWidth="1"/>
    <col min="28" max="28" width="9.5546875" bestFit="1" customWidth="1"/>
    <col min="29" max="29" width="10" bestFit="1" customWidth="1"/>
  </cols>
  <sheetData>
    <row r="1" spans="1:29" x14ac:dyDescent="0.3">
      <c r="A1" t="s">
        <v>238</v>
      </c>
      <c r="B1" t="s">
        <v>285</v>
      </c>
      <c r="C1" t="s">
        <v>286</v>
      </c>
      <c r="D1" t="s">
        <v>287</v>
      </c>
      <c r="E1" s="7" t="s">
        <v>288</v>
      </c>
      <c r="F1" t="s">
        <v>289</v>
      </c>
      <c r="G1" t="s">
        <v>290</v>
      </c>
      <c r="H1" t="s">
        <v>291</v>
      </c>
      <c r="I1" s="7" t="s">
        <v>292</v>
      </c>
      <c r="J1" t="s">
        <v>293</v>
      </c>
      <c r="K1" t="s">
        <v>294</v>
      </c>
      <c r="L1" t="s">
        <v>295</v>
      </c>
      <c r="M1" s="7" t="s">
        <v>296</v>
      </c>
      <c r="N1" t="s">
        <v>297</v>
      </c>
      <c r="O1" t="s">
        <v>298</v>
      </c>
      <c r="P1" t="s">
        <v>299</v>
      </c>
      <c r="Q1" s="7" t="s">
        <v>300</v>
      </c>
      <c r="R1" t="s">
        <v>301</v>
      </c>
      <c r="S1" t="s">
        <v>302</v>
      </c>
      <c r="T1" t="s">
        <v>303</v>
      </c>
      <c r="U1" s="7" t="s">
        <v>304</v>
      </c>
      <c r="V1" t="s">
        <v>305</v>
      </c>
      <c r="W1" t="s">
        <v>306</v>
      </c>
      <c r="X1" t="s">
        <v>307</v>
      </c>
      <c r="Y1" s="7" t="s">
        <v>308</v>
      </c>
      <c r="Z1" t="s">
        <v>309</v>
      </c>
      <c r="AA1" t="s">
        <v>310</v>
      </c>
      <c r="AB1" t="s">
        <v>311</v>
      </c>
      <c r="AC1" t="s">
        <v>312</v>
      </c>
    </row>
    <row r="2" spans="1:29" x14ac:dyDescent="0.3">
      <c r="A2" t="s">
        <v>258</v>
      </c>
      <c r="B2" s="3">
        <v>0</v>
      </c>
      <c r="C2" s="3">
        <v>0</v>
      </c>
      <c r="D2" s="10">
        <v>86.67</v>
      </c>
      <c r="E2" s="8">
        <v>13.33</v>
      </c>
      <c r="F2" s="3">
        <v>0</v>
      </c>
      <c r="G2" s="3">
        <v>0</v>
      </c>
      <c r="H2" s="10">
        <v>100</v>
      </c>
      <c r="I2" s="8">
        <v>0</v>
      </c>
      <c r="J2" s="3">
        <v>14.29</v>
      </c>
      <c r="K2" s="3">
        <v>0</v>
      </c>
      <c r="L2" s="10">
        <v>42.86</v>
      </c>
      <c r="M2" s="10">
        <v>42.86</v>
      </c>
      <c r="N2" s="3">
        <v>28.57</v>
      </c>
      <c r="O2" s="3">
        <v>7.14</v>
      </c>
      <c r="P2" s="3">
        <v>21.43</v>
      </c>
      <c r="Q2" s="10">
        <v>42.86</v>
      </c>
      <c r="R2" s="3">
        <v>7.14</v>
      </c>
      <c r="S2" s="3">
        <v>0</v>
      </c>
      <c r="T2" s="10">
        <v>64.290000000000006</v>
      </c>
      <c r="U2" s="8">
        <v>28.57</v>
      </c>
      <c r="V2" s="3">
        <v>16.670000000000002</v>
      </c>
      <c r="W2" s="3">
        <v>0</v>
      </c>
      <c r="X2" s="10">
        <v>66.67</v>
      </c>
      <c r="Y2" s="8">
        <v>16.670000000000002</v>
      </c>
      <c r="Z2" s="3">
        <v>11.11</v>
      </c>
      <c r="AA2" s="3">
        <v>0</v>
      </c>
      <c r="AB2" s="10">
        <v>88.89</v>
      </c>
      <c r="AC2" s="3">
        <v>0</v>
      </c>
    </row>
    <row r="3" spans="1:29" x14ac:dyDescent="0.3">
      <c r="A3" t="s">
        <v>259</v>
      </c>
      <c r="B3" s="3">
        <v>0</v>
      </c>
      <c r="C3" s="3">
        <v>14.29</v>
      </c>
      <c r="D3" s="3">
        <v>35.71</v>
      </c>
      <c r="E3" s="10">
        <v>50</v>
      </c>
      <c r="F3" s="3">
        <v>6.67</v>
      </c>
      <c r="G3" s="3">
        <v>6.67</v>
      </c>
      <c r="H3" s="10">
        <v>73.33</v>
      </c>
      <c r="I3" s="8">
        <v>13.33</v>
      </c>
      <c r="J3" s="10">
        <v>50</v>
      </c>
      <c r="K3" s="3">
        <v>0</v>
      </c>
      <c r="L3" s="3">
        <v>7.14</v>
      </c>
      <c r="M3" s="8">
        <v>42.86</v>
      </c>
      <c r="N3" s="10">
        <v>50</v>
      </c>
      <c r="O3" s="3">
        <v>0</v>
      </c>
      <c r="P3" s="3">
        <v>14.29</v>
      </c>
      <c r="Q3" s="8">
        <v>35.71</v>
      </c>
      <c r="R3" s="10">
        <v>71.430000000000007</v>
      </c>
      <c r="S3" s="3">
        <v>0</v>
      </c>
      <c r="T3" s="3">
        <v>28.57</v>
      </c>
      <c r="U3" s="8">
        <v>0</v>
      </c>
      <c r="V3" s="10">
        <v>57.14</v>
      </c>
      <c r="W3" s="3">
        <v>0</v>
      </c>
      <c r="X3" s="3">
        <v>28.57</v>
      </c>
      <c r="Y3" s="8">
        <v>14.29</v>
      </c>
      <c r="Z3" s="3">
        <v>40</v>
      </c>
      <c r="AA3" s="3">
        <v>0</v>
      </c>
      <c r="AB3" s="10">
        <v>50</v>
      </c>
      <c r="AC3" s="3">
        <v>10</v>
      </c>
    </row>
    <row r="4" spans="1:29" x14ac:dyDescent="0.3">
      <c r="A4" t="s">
        <v>190</v>
      </c>
      <c r="B4" s="10">
        <v>60</v>
      </c>
      <c r="C4" s="3">
        <v>0</v>
      </c>
      <c r="D4" s="3">
        <v>26.67</v>
      </c>
      <c r="E4" s="8">
        <v>13.33</v>
      </c>
      <c r="F4" s="3">
        <v>28.57</v>
      </c>
      <c r="G4" s="3">
        <v>14.29</v>
      </c>
      <c r="H4" s="10">
        <v>50</v>
      </c>
      <c r="I4" s="8">
        <v>7.14</v>
      </c>
      <c r="J4" s="10">
        <v>64.290000000000006</v>
      </c>
      <c r="K4" s="3">
        <v>21.43</v>
      </c>
      <c r="L4" s="3">
        <v>7.14</v>
      </c>
      <c r="M4" s="8">
        <v>7.14</v>
      </c>
      <c r="N4" s="10">
        <v>64.290000000000006</v>
      </c>
      <c r="O4" s="3">
        <v>14.29</v>
      </c>
      <c r="P4" s="3">
        <v>7.14</v>
      </c>
      <c r="Q4" s="8">
        <v>14.29</v>
      </c>
      <c r="R4" s="10">
        <v>35.71</v>
      </c>
      <c r="S4" s="3">
        <v>21.43</v>
      </c>
      <c r="T4" s="10">
        <v>35.71</v>
      </c>
      <c r="U4" s="8">
        <v>7.14</v>
      </c>
      <c r="V4" s="10">
        <v>80</v>
      </c>
      <c r="W4" s="3">
        <v>0</v>
      </c>
      <c r="X4" s="3">
        <v>0</v>
      </c>
      <c r="Y4" s="8">
        <v>20</v>
      </c>
      <c r="Z4" s="10">
        <v>66.67</v>
      </c>
      <c r="AA4" s="3">
        <v>0</v>
      </c>
      <c r="AB4" s="3">
        <v>22.22</v>
      </c>
      <c r="AC4" s="3">
        <v>11.11</v>
      </c>
    </row>
    <row r="5" spans="1:29" x14ac:dyDescent="0.3">
      <c r="A5" t="s">
        <v>260</v>
      </c>
      <c r="B5" s="10">
        <v>50</v>
      </c>
      <c r="C5" s="10">
        <v>50</v>
      </c>
      <c r="D5" s="3">
        <v>0</v>
      </c>
      <c r="E5" s="8">
        <v>0</v>
      </c>
      <c r="F5" s="3">
        <v>28.57</v>
      </c>
      <c r="G5" s="3">
        <v>14.29</v>
      </c>
      <c r="H5" s="10">
        <v>42.86</v>
      </c>
      <c r="I5" s="8">
        <v>14.29</v>
      </c>
      <c r="J5" s="3">
        <v>14.29</v>
      </c>
      <c r="K5" s="3">
        <v>28.57</v>
      </c>
      <c r="L5" s="10">
        <v>50</v>
      </c>
      <c r="M5" s="8">
        <v>7.14</v>
      </c>
      <c r="N5" s="3">
        <v>7.14</v>
      </c>
      <c r="O5" s="3">
        <v>28.57</v>
      </c>
      <c r="P5" s="10">
        <v>64.290000000000006</v>
      </c>
      <c r="Q5" s="8">
        <v>0</v>
      </c>
      <c r="R5" s="3">
        <v>0</v>
      </c>
      <c r="S5" s="10">
        <v>53.33</v>
      </c>
      <c r="T5" s="3">
        <v>40</v>
      </c>
      <c r="U5" s="8">
        <v>6.67</v>
      </c>
      <c r="V5" s="10">
        <v>75</v>
      </c>
      <c r="W5" s="3">
        <v>12.5</v>
      </c>
      <c r="X5" s="3">
        <v>12.5</v>
      </c>
      <c r="Y5" s="8">
        <v>0</v>
      </c>
      <c r="Z5" s="10">
        <v>88.89</v>
      </c>
      <c r="AA5" s="3">
        <v>11.11</v>
      </c>
      <c r="AB5" s="3">
        <v>0</v>
      </c>
      <c r="AC5" s="3">
        <v>0</v>
      </c>
    </row>
    <row r="6" spans="1:29" x14ac:dyDescent="0.3">
      <c r="A6" t="s">
        <v>261</v>
      </c>
      <c r="B6" s="3">
        <v>20</v>
      </c>
      <c r="C6" s="3">
        <v>33.33</v>
      </c>
      <c r="D6" s="10">
        <v>46.67</v>
      </c>
      <c r="E6" s="8">
        <v>0</v>
      </c>
      <c r="F6" s="3">
        <v>21.43</v>
      </c>
      <c r="G6" s="3">
        <v>28.57</v>
      </c>
      <c r="H6" s="10">
        <v>42.86</v>
      </c>
      <c r="I6" s="8">
        <v>7.14</v>
      </c>
      <c r="J6" s="3">
        <v>0</v>
      </c>
      <c r="K6" s="3">
        <v>0</v>
      </c>
      <c r="L6" s="10">
        <v>100</v>
      </c>
      <c r="M6" s="8">
        <v>0</v>
      </c>
      <c r="N6" s="3">
        <v>0</v>
      </c>
      <c r="O6" s="3">
        <v>0</v>
      </c>
      <c r="P6" s="10">
        <v>100</v>
      </c>
      <c r="Q6" s="8">
        <v>0</v>
      </c>
      <c r="R6" s="3">
        <v>0</v>
      </c>
      <c r="S6" s="3">
        <v>28.57</v>
      </c>
      <c r="T6" s="10">
        <v>71.430000000000007</v>
      </c>
      <c r="U6" s="8">
        <v>0</v>
      </c>
      <c r="V6" s="10">
        <v>40</v>
      </c>
      <c r="W6" s="3">
        <v>10</v>
      </c>
      <c r="X6" s="10">
        <v>40</v>
      </c>
      <c r="Y6" s="8">
        <v>10</v>
      </c>
      <c r="Z6" s="10">
        <v>70</v>
      </c>
      <c r="AA6" s="3">
        <v>30</v>
      </c>
      <c r="AB6" s="3">
        <v>0</v>
      </c>
      <c r="AC6" s="3">
        <v>0</v>
      </c>
    </row>
    <row r="7" spans="1:29" x14ac:dyDescent="0.3">
      <c r="A7" t="s">
        <v>192</v>
      </c>
      <c r="B7" s="3">
        <v>6.67</v>
      </c>
      <c r="C7" s="3">
        <v>13.33</v>
      </c>
      <c r="D7" s="10">
        <v>80</v>
      </c>
      <c r="E7" s="8">
        <v>0</v>
      </c>
      <c r="F7" s="3">
        <v>6.67</v>
      </c>
      <c r="G7" s="3">
        <v>0</v>
      </c>
      <c r="H7" s="10">
        <v>93.33</v>
      </c>
      <c r="I7" s="8">
        <v>0</v>
      </c>
      <c r="J7" s="3">
        <v>0</v>
      </c>
      <c r="K7" s="3">
        <v>0</v>
      </c>
      <c r="L7" s="10">
        <v>93.33</v>
      </c>
      <c r="M7" s="8">
        <v>6.67</v>
      </c>
      <c r="N7" s="3">
        <v>0</v>
      </c>
      <c r="O7" s="3">
        <v>0</v>
      </c>
      <c r="P7" s="10">
        <v>100</v>
      </c>
      <c r="Q7" s="8">
        <v>0</v>
      </c>
      <c r="R7" s="3">
        <v>0</v>
      </c>
      <c r="S7" s="3">
        <v>7.14</v>
      </c>
      <c r="T7" s="10">
        <v>92.86</v>
      </c>
      <c r="U7" s="8">
        <v>0</v>
      </c>
      <c r="V7" s="3">
        <v>0</v>
      </c>
      <c r="W7" s="3">
        <v>0</v>
      </c>
      <c r="X7" s="10">
        <v>100</v>
      </c>
      <c r="Y7" s="8">
        <v>0</v>
      </c>
      <c r="Z7" s="10">
        <v>60</v>
      </c>
      <c r="AA7" s="3">
        <v>30</v>
      </c>
      <c r="AB7" s="3">
        <v>10</v>
      </c>
      <c r="AC7" s="3">
        <v>0</v>
      </c>
    </row>
    <row r="8" spans="1:29" x14ac:dyDescent="0.3">
      <c r="A8" t="s">
        <v>262</v>
      </c>
      <c r="B8" s="3">
        <v>7.69</v>
      </c>
      <c r="C8" s="3">
        <v>7.69</v>
      </c>
      <c r="D8" s="10">
        <v>84.62</v>
      </c>
      <c r="E8" s="8">
        <v>0</v>
      </c>
      <c r="F8" s="3">
        <v>0</v>
      </c>
      <c r="G8" s="3">
        <v>6.67</v>
      </c>
      <c r="H8" s="10">
        <v>93.33</v>
      </c>
      <c r="I8" s="8">
        <v>0</v>
      </c>
      <c r="J8" s="3">
        <v>0</v>
      </c>
      <c r="K8" s="3">
        <v>0</v>
      </c>
      <c r="L8" s="10">
        <v>100</v>
      </c>
      <c r="M8" s="8">
        <v>0</v>
      </c>
      <c r="N8" s="3">
        <v>0</v>
      </c>
      <c r="O8" s="3">
        <v>0</v>
      </c>
      <c r="P8" s="10">
        <v>100</v>
      </c>
      <c r="Q8" s="8">
        <v>0</v>
      </c>
      <c r="R8" s="3">
        <v>0</v>
      </c>
      <c r="S8" s="3">
        <v>0</v>
      </c>
      <c r="T8" s="10">
        <v>100</v>
      </c>
      <c r="U8" s="8">
        <v>0</v>
      </c>
      <c r="V8" s="3">
        <v>11.11</v>
      </c>
      <c r="W8" s="3">
        <v>11.11</v>
      </c>
      <c r="X8" s="10">
        <v>66.67</v>
      </c>
      <c r="Y8" s="8">
        <v>11.11</v>
      </c>
      <c r="Z8" s="3">
        <v>0</v>
      </c>
      <c r="AA8" s="3">
        <v>0</v>
      </c>
      <c r="AB8" s="10">
        <v>100</v>
      </c>
      <c r="AC8" s="3">
        <v>0</v>
      </c>
    </row>
    <row r="9" spans="1:29" x14ac:dyDescent="0.3">
      <c r="A9" t="s">
        <v>263</v>
      </c>
      <c r="B9" s="3">
        <v>0</v>
      </c>
      <c r="C9" s="3">
        <v>0</v>
      </c>
      <c r="D9" s="10">
        <v>100</v>
      </c>
      <c r="E9" s="8">
        <v>0</v>
      </c>
      <c r="F9" s="3">
        <v>0</v>
      </c>
      <c r="G9" s="3">
        <v>0</v>
      </c>
      <c r="H9" s="10">
        <v>100</v>
      </c>
      <c r="I9" s="8">
        <v>0</v>
      </c>
      <c r="J9" s="3">
        <v>0</v>
      </c>
      <c r="K9" s="3">
        <v>0</v>
      </c>
      <c r="L9" s="10">
        <v>100</v>
      </c>
      <c r="M9" s="8">
        <v>0</v>
      </c>
      <c r="N9" s="3">
        <v>0</v>
      </c>
      <c r="O9" s="3">
        <v>0</v>
      </c>
      <c r="P9" s="10">
        <v>100</v>
      </c>
      <c r="Q9" s="8">
        <v>0</v>
      </c>
      <c r="R9" s="3">
        <v>0</v>
      </c>
      <c r="S9" s="3">
        <v>0</v>
      </c>
      <c r="T9" s="10">
        <v>100</v>
      </c>
      <c r="U9" s="8">
        <v>0</v>
      </c>
      <c r="V9" s="3">
        <v>0</v>
      </c>
      <c r="W9" s="3">
        <v>0</v>
      </c>
      <c r="X9" s="10">
        <v>80</v>
      </c>
      <c r="Y9" s="8">
        <v>20</v>
      </c>
      <c r="Z9" s="10">
        <v>40</v>
      </c>
      <c r="AA9" s="3">
        <v>0</v>
      </c>
      <c r="AB9" s="10">
        <v>40</v>
      </c>
      <c r="AC9" s="3">
        <v>20</v>
      </c>
    </row>
    <row r="10" spans="1:29" x14ac:dyDescent="0.3">
      <c r="A10" t="s">
        <v>194</v>
      </c>
      <c r="B10" s="3">
        <v>6.67</v>
      </c>
      <c r="C10" s="3">
        <v>0</v>
      </c>
      <c r="D10" s="10">
        <v>93.33</v>
      </c>
      <c r="E10" s="8">
        <v>0</v>
      </c>
      <c r="F10" s="3">
        <v>13.33</v>
      </c>
      <c r="G10" s="3">
        <v>6.67</v>
      </c>
      <c r="H10" s="10">
        <v>73.33</v>
      </c>
      <c r="I10" s="8">
        <v>6.67</v>
      </c>
      <c r="J10" s="3">
        <v>6.67</v>
      </c>
      <c r="K10" s="3">
        <v>0</v>
      </c>
      <c r="L10" s="10">
        <v>93.33</v>
      </c>
      <c r="M10" s="8">
        <v>0</v>
      </c>
      <c r="N10" s="3">
        <v>0</v>
      </c>
      <c r="O10" s="3">
        <v>0</v>
      </c>
      <c r="P10" s="10">
        <v>100</v>
      </c>
      <c r="Q10" s="8">
        <v>0</v>
      </c>
      <c r="R10" s="3">
        <v>0</v>
      </c>
      <c r="S10" s="3">
        <v>0</v>
      </c>
      <c r="T10" s="10">
        <v>100</v>
      </c>
      <c r="U10" s="8">
        <v>0</v>
      </c>
      <c r="V10" s="3">
        <v>0</v>
      </c>
      <c r="W10" s="3">
        <v>0</v>
      </c>
      <c r="X10" s="10">
        <v>66.67</v>
      </c>
      <c r="Y10" s="8">
        <v>33.33</v>
      </c>
      <c r="Z10" s="3">
        <v>10</v>
      </c>
      <c r="AA10" s="3">
        <v>0</v>
      </c>
      <c r="AB10" s="10">
        <v>90</v>
      </c>
      <c r="AC10" s="3">
        <v>0</v>
      </c>
    </row>
    <row r="11" spans="1:29" x14ac:dyDescent="0.3">
      <c r="A11" t="s">
        <v>264</v>
      </c>
      <c r="B11" s="3">
        <v>6.67</v>
      </c>
      <c r="C11" s="3">
        <v>0</v>
      </c>
      <c r="D11" s="10">
        <v>93.33</v>
      </c>
      <c r="E11" s="8">
        <v>0</v>
      </c>
      <c r="F11" s="3">
        <v>6.67</v>
      </c>
      <c r="G11" s="3">
        <v>6.67</v>
      </c>
      <c r="H11" s="10">
        <v>86.67</v>
      </c>
      <c r="I11" s="8">
        <v>0</v>
      </c>
      <c r="J11" s="3">
        <v>7.14</v>
      </c>
      <c r="K11" s="3">
        <v>14.29</v>
      </c>
      <c r="L11" s="10">
        <v>78.569999999999993</v>
      </c>
      <c r="M11" s="8">
        <v>0</v>
      </c>
      <c r="N11" s="3">
        <v>0</v>
      </c>
      <c r="O11" s="3">
        <v>0</v>
      </c>
      <c r="P11" s="10">
        <v>92.31</v>
      </c>
      <c r="Q11" s="8">
        <v>7.69</v>
      </c>
      <c r="R11" s="3">
        <v>0</v>
      </c>
      <c r="S11" s="3">
        <v>0</v>
      </c>
      <c r="T11" s="10">
        <v>100</v>
      </c>
      <c r="U11" s="8">
        <v>0</v>
      </c>
      <c r="V11" s="3">
        <v>0</v>
      </c>
      <c r="W11" s="3">
        <v>0</v>
      </c>
      <c r="X11" s="10">
        <v>100</v>
      </c>
      <c r="Y11" s="8">
        <v>0</v>
      </c>
      <c r="Z11" s="3">
        <v>0</v>
      </c>
      <c r="AA11" s="3">
        <v>10</v>
      </c>
      <c r="AB11" s="10">
        <v>90</v>
      </c>
      <c r="AC11" s="3">
        <v>0</v>
      </c>
    </row>
    <row r="12" spans="1:29" x14ac:dyDescent="0.3">
      <c r="A12" t="s">
        <v>265</v>
      </c>
      <c r="B12" s="3">
        <v>0</v>
      </c>
      <c r="C12" s="3">
        <v>0</v>
      </c>
      <c r="D12" s="10">
        <v>100</v>
      </c>
      <c r="E12" s="8">
        <v>0</v>
      </c>
      <c r="F12" s="3">
        <v>0</v>
      </c>
      <c r="G12" s="3">
        <v>0</v>
      </c>
      <c r="H12" s="10">
        <v>100</v>
      </c>
      <c r="I12" s="8">
        <v>0</v>
      </c>
      <c r="J12" s="3">
        <v>7.14</v>
      </c>
      <c r="K12" s="3">
        <v>0</v>
      </c>
      <c r="L12" s="10">
        <v>85.71</v>
      </c>
      <c r="M12" s="8">
        <v>7.14</v>
      </c>
      <c r="N12" s="3">
        <v>0</v>
      </c>
      <c r="O12" s="3">
        <v>7.14</v>
      </c>
      <c r="P12" s="10">
        <v>71.430000000000007</v>
      </c>
      <c r="Q12" s="8">
        <v>21.43</v>
      </c>
      <c r="R12" s="3">
        <v>0</v>
      </c>
      <c r="S12" s="3">
        <v>0</v>
      </c>
      <c r="T12" s="10">
        <v>100</v>
      </c>
      <c r="U12" s="8">
        <v>0</v>
      </c>
      <c r="V12" s="3">
        <v>0</v>
      </c>
      <c r="W12" s="3">
        <v>0</v>
      </c>
      <c r="X12" s="10">
        <v>100</v>
      </c>
      <c r="Y12" s="8">
        <v>0</v>
      </c>
      <c r="Z12" s="3">
        <v>0</v>
      </c>
      <c r="AA12" s="3">
        <v>0</v>
      </c>
      <c r="AB12" s="10">
        <v>100</v>
      </c>
      <c r="AC12" s="3">
        <v>0</v>
      </c>
    </row>
    <row r="13" spans="1:29" x14ac:dyDescent="0.3">
      <c r="A13" t="s">
        <v>196</v>
      </c>
      <c r="B13" s="3">
        <v>7.14</v>
      </c>
      <c r="C13" s="3">
        <v>0</v>
      </c>
      <c r="D13" s="10">
        <v>85.71</v>
      </c>
      <c r="E13" s="8">
        <v>7.14</v>
      </c>
      <c r="F13" s="3">
        <v>0</v>
      </c>
      <c r="G13" s="3">
        <v>0</v>
      </c>
      <c r="H13" s="10">
        <v>100</v>
      </c>
      <c r="I13" s="8">
        <v>0</v>
      </c>
      <c r="J13" s="3">
        <v>14.29</v>
      </c>
      <c r="K13" s="3">
        <v>0</v>
      </c>
      <c r="L13" s="10">
        <v>57.14</v>
      </c>
      <c r="M13" s="8">
        <v>28.57</v>
      </c>
      <c r="N13" s="3">
        <v>0</v>
      </c>
      <c r="O13" s="3">
        <v>0</v>
      </c>
      <c r="P13" s="10">
        <v>92.31</v>
      </c>
      <c r="Q13" s="8">
        <v>7.69</v>
      </c>
      <c r="R13" s="3">
        <v>0</v>
      </c>
      <c r="S13" s="3">
        <v>0</v>
      </c>
      <c r="T13" s="10">
        <v>100</v>
      </c>
      <c r="U13" s="8">
        <v>0</v>
      </c>
      <c r="V13" s="3">
        <v>0</v>
      </c>
      <c r="W13" s="3">
        <v>0</v>
      </c>
      <c r="X13" s="10">
        <v>100</v>
      </c>
      <c r="Y13" s="8">
        <v>0</v>
      </c>
      <c r="Z13" s="3">
        <v>10</v>
      </c>
      <c r="AA13" s="3">
        <v>0</v>
      </c>
      <c r="AB13" s="10">
        <v>90</v>
      </c>
      <c r="AC13" s="3"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25"/>
  <sheetViews>
    <sheetView topLeftCell="F1" workbookViewId="0">
      <selection activeCell="AA3" sqref="AA3:AA14"/>
    </sheetView>
  </sheetViews>
  <sheetFormatPr defaultColWidth="11.44140625" defaultRowHeight="14.4" x14ac:dyDescent="0.3"/>
  <sheetData>
    <row r="1" spans="1:27" x14ac:dyDescent="0.3">
      <c r="A1" t="s">
        <v>169</v>
      </c>
      <c r="B1" t="s">
        <v>339</v>
      </c>
      <c r="C1" t="s">
        <v>340</v>
      </c>
      <c r="D1" t="s">
        <v>341</v>
      </c>
      <c r="E1" t="s">
        <v>342</v>
      </c>
      <c r="F1" t="s">
        <v>343</v>
      </c>
      <c r="H1" t="s">
        <v>169</v>
      </c>
      <c r="I1" t="s">
        <v>339</v>
      </c>
      <c r="J1" t="s">
        <v>340</v>
      </c>
      <c r="K1" t="s">
        <v>341</v>
      </c>
      <c r="L1" t="s">
        <v>342</v>
      </c>
      <c r="M1" t="s">
        <v>343</v>
      </c>
      <c r="O1" t="s">
        <v>169</v>
      </c>
      <c r="P1" t="s">
        <v>339</v>
      </c>
      <c r="Q1" t="s">
        <v>340</v>
      </c>
      <c r="R1" t="s">
        <v>341</v>
      </c>
      <c r="S1" t="s">
        <v>342</v>
      </c>
      <c r="T1" t="s">
        <v>343</v>
      </c>
      <c r="V1" t="s">
        <v>169</v>
      </c>
      <c r="W1" t="s">
        <v>339</v>
      </c>
      <c r="X1" t="s">
        <v>340</v>
      </c>
      <c r="Y1" t="s">
        <v>341</v>
      </c>
      <c r="Z1" t="s">
        <v>342</v>
      </c>
      <c r="AA1" t="s">
        <v>343</v>
      </c>
    </row>
    <row r="2" spans="1:27" x14ac:dyDescent="0.3">
      <c r="A2" s="22" t="s">
        <v>344</v>
      </c>
      <c r="B2" s="22" t="s">
        <v>59</v>
      </c>
      <c r="C2" s="22">
        <v>62.2</v>
      </c>
      <c r="D2" s="22">
        <v>72.069999999999993</v>
      </c>
      <c r="E2" s="22">
        <v>9.8699999999999992</v>
      </c>
      <c r="F2" s="22">
        <v>58.9</v>
      </c>
      <c r="G2" s="22"/>
      <c r="H2" s="22" t="s">
        <v>344</v>
      </c>
      <c r="I2" s="22" t="s">
        <v>60</v>
      </c>
      <c r="J2" s="22">
        <v>47.09</v>
      </c>
      <c r="K2" s="22">
        <v>47.27</v>
      </c>
      <c r="L2" s="22">
        <v>0.18</v>
      </c>
      <c r="M2" s="23">
        <v>44.4433333333333</v>
      </c>
      <c r="N2" s="22"/>
      <c r="O2" s="22" t="s">
        <v>344</v>
      </c>
      <c r="P2" s="22" t="s">
        <v>30</v>
      </c>
      <c r="Q2" s="22">
        <v>54.32</v>
      </c>
      <c r="R2" s="22">
        <v>55.71</v>
      </c>
      <c r="S2" s="22">
        <v>1.39</v>
      </c>
      <c r="T2" s="24">
        <v>2.2200000000000002</v>
      </c>
      <c r="U2" s="22"/>
      <c r="V2" s="22" t="s">
        <v>344</v>
      </c>
      <c r="W2" s="22" t="s">
        <v>61</v>
      </c>
      <c r="X2" s="22">
        <v>53.39</v>
      </c>
      <c r="Y2" s="22">
        <v>52.16</v>
      </c>
      <c r="Z2" s="22">
        <v>-1.23</v>
      </c>
      <c r="AA2" s="25">
        <v>57.776666666666699</v>
      </c>
    </row>
    <row r="3" spans="1:27" x14ac:dyDescent="0.3">
      <c r="A3" t="s">
        <v>258</v>
      </c>
      <c r="B3" t="s">
        <v>59</v>
      </c>
      <c r="C3">
        <v>59.28</v>
      </c>
      <c r="D3">
        <v>63.74</v>
      </c>
      <c r="E3">
        <v>4.46</v>
      </c>
      <c r="F3">
        <v>58.9</v>
      </c>
      <c r="H3" t="s">
        <v>258</v>
      </c>
      <c r="I3" t="s">
        <v>60</v>
      </c>
      <c r="J3">
        <v>42.28</v>
      </c>
      <c r="K3">
        <v>49.86</v>
      </c>
      <c r="L3">
        <v>7.58</v>
      </c>
      <c r="M3" s="16">
        <v>92.223333333333301</v>
      </c>
      <c r="O3" t="s">
        <v>258</v>
      </c>
      <c r="P3" t="s">
        <v>30</v>
      </c>
      <c r="Q3">
        <v>51.6</v>
      </c>
      <c r="R3">
        <v>53.14</v>
      </c>
      <c r="S3">
        <v>1.54</v>
      </c>
      <c r="T3" s="4">
        <v>3.3333333333333299</v>
      </c>
      <c r="V3" t="s">
        <v>258</v>
      </c>
      <c r="W3" t="s">
        <v>61</v>
      </c>
      <c r="X3">
        <v>57.62</v>
      </c>
      <c r="Y3">
        <v>59.59</v>
      </c>
      <c r="Z3">
        <v>1.97</v>
      </c>
      <c r="AA3" s="16">
        <v>17.78</v>
      </c>
    </row>
    <row r="4" spans="1:27" x14ac:dyDescent="0.3">
      <c r="A4" t="s">
        <v>259</v>
      </c>
      <c r="B4" t="s">
        <v>59</v>
      </c>
      <c r="C4">
        <v>59.41</v>
      </c>
      <c r="D4">
        <v>80.03</v>
      </c>
      <c r="E4">
        <v>20.62</v>
      </c>
      <c r="F4">
        <v>71.099999999999994</v>
      </c>
      <c r="H4" t="s">
        <v>259</v>
      </c>
      <c r="I4" t="s">
        <v>60</v>
      </c>
      <c r="J4">
        <v>41.92</v>
      </c>
      <c r="K4">
        <v>48.45</v>
      </c>
      <c r="L4">
        <v>6.53</v>
      </c>
      <c r="M4" s="16">
        <v>86.6666666666667</v>
      </c>
      <c r="O4" t="s">
        <v>259</v>
      </c>
      <c r="P4" t="s">
        <v>30</v>
      </c>
      <c r="Q4">
        <v>49.22</v>
      </c>
      <c r="R4">
        <v>49.76</v>
      </c>
      <c r="S4">
        <v>0.54</v>
      </c>
      <c r="T4" s="4">
        <v>1.1100000000000001</v>
      </c>
      <c r="V4" t="s">
        <v>259</v>
      </c>
      <c r="W4" t="s">
        <v>61</v>
      </c>
      <c r="X4">
        <v>57.03</v>
      </c>
      <c r="Y4">
        <v>57.72</v>
      </c>
      <c r="Z4">
        <v>0.69</v>
      </c>
      <c r="AA4" s="16">
        <v>22.223333333333301</v>
      </c>
    </row>
    <row r="5" spans="1:27" x14ac:dyDescent="0.3">
      <c r="A5" t="s">
        <v>190</v>
      </c>
      <c r="B5" t="s">
        <v>59</v>
      </c>
      <c r="C5">
        <v>61.94</v>
      </c>
      <c r="D5">
        <v>74.3</v>
      </c>
      <c r="E5">
        <v>12.36</v>
      </c>
      <c r="F5">
        <v>70</v>
      </c>
      <c r="H5" t="s">
        <v>190</v>
      </c>
      <c r="I5" t="s">
        <v>60</v>
      </c>
      <c r="J5">
        <v>41.41</v>
      </c>
      <c r="K5">
        <v>49.73</v>
      </c>
      <c r="L5">
        <v>8.32</v>
      </c>
      <c r="M5" s="16">
        <v>90</v>
      </c>
      <c r="O5" t="s">
        <v>190</v>
      </c>
      <c r="P5" t="s">
        <v>30</v>
      </c>
      <c r="Q5">
        <v>46.56</v>
      </c>
      <c r="R5">
        <v>60.05</v>
      </c>
      <c r="S5">
        <v>13.49</v>
      </c>
      <c r="T5" s="4">
        <v>28.89</v>
      </c>
      <c r="V5" t="s">
        <v>190</v>
      </c>
      <c r="W5" t="s">
        <v>61</v>
      </c>
      <c r="X5">
        <v>55.24</v>
      </c>
      <c r="Y5">
        <v>59.31</v>
      </c>
      <c r="Z5">
        <v>4.07</v>
      </c>
      <c r="AA5" s="16">
        <v>6.6666666666666696</v>
      </c>
    </row>
    <row r="6" spans="1:27" x14ac:dyDescent="0.3">
      <c r="A6" t="s">
        <v>260</v>
      </c>
      <c r="B6" t="s">
        <v>59</v>
      </c>
      <c r="C6">
        <v>62.67</v>
      </c>
      <c r="D6">
        <v>73.599999999999994</v>
      </c>
      <c r="E6">
        <v>10.93</v>
      </c>
      <c r="F6" s="20">
        <v>48.9</v>
      </c>
      <c r="H6" t="s">
        <v>260</v>
      </c>
      <c r="I6" t="s">
        <v>60</v>
      </c>
      <c r="J6">
        <v>47.26</v>
      </c>
      <c r="K6">
        <v>55.14</v>
      </c>
      <c r="L6">
        <v>7.88</v>
      </c>
      <c r="M6" s="16">
        <v>53.3333333333333</v>
      </c>
      <c r="O6" t="s">
        <v>260</v>
      </c>
      <c r="P6" t="s">
        <v>30</v>
      </c>
      <c r="Q6">
        <v>53.31</v>
      </c>
      <c r="R6">
        <v>58.47</v>
      </c>
      <c r="S6">
        <v>5.16</v>
      </c>
      <c r="T6" s="21">
        <v>57.78</v>
      </c>
      <c r="V6" t="s">
        <v>260</v>
      </c>
      <c r="W6" t="s">
        <v>61</v>
      </c>
      <c r="X6">
        <v>62.03</v>
      </c>
      <c r="Y6">
        <v>66.040000000000006</v>
      </c>
      <c r="Z6">
        <v>4.01</v>
      </c>
      <c r="AA6" s="16">
        <v>5.5533333333333301</v>
      </c>
    </row>
    <row r="7" spans="1:27" x14ac:dyDescent="0.3">
      <c r="A7" t="s">
        <v>261</v>
      </c>
      <c r="B7" t="s">
        <v>59</v>
      </c>
      <c r="C7">
        <v>70.760000000000005</v>
      </c>
      <c r="D7">
        <v>72.05</v>
      </c>
      <c r="E7">
        <v>1.29</v>
      </c>
      <c r="F7" s="20">
        <v>41.1</v>
      </c>
      <c r="H7" t="s">
        <v>261</v>
      </c>
      <c r="I7" t="s">
        <v>60</v>
      </c>
      <c r="J7">
        <v>49.51</v>
      </c>
      <c r="K7">
        <v>54.49</v>
      </c>
      <c r="L7">
        <v>4.9800000000000004</v>
      </c>
      <c r="M7" s="16">
        <v>63.3333333333333</v>
      </c>
      <c r="O7" t="s">
        <v>261</v>
      </c>
      <c r="P7" t="s">
        <v>30</v>
      </c>
      <c r="Q7">
        <v>47.82</v>
      </c>
      <c r="R7">
        <v>58.34</v>
      </c>
      <c r="S7">
        <v>10.52</v>
      </c>
      <c r="T7" s="4">
        <v>48.886666666666699</v>
      </c>
      <c r="V7" t="s">
        <v>261</v>
      </c>
      <c r="W7" t="s">
        <v>61</v>
      </c>
      <c r="X7">
        <v>57.58</v>
      </c>
      <c r="Y7">
        <v>60.16</v>
      </c>
      <c r="Z7">
        <v>2.58</v>
      </c>
      <c r="AA7" s="16">
        <v>0</v>
      </c>
    </row>
    <row r="8" spans="1:27" x14ac:dyDescent="0.3">
      <c r="A8" t="s">
        <v>192</v>
      </c>
      <c r="B8" t="s">
        <v>59</v>
      </c>
      <c r="C8">
        <v>62.07</v>
      </c>
      <c r="D8">
        <v>73.150000000000006</v>
      </c>
      <c r="E8">
        <v>11.08</v>
      </c>
      <c r="F8">
        <v>53.3</v>
      </c>
      <c r="H8" t="s">
        <v>192</v>
      </c>
      <c r="I8" t="s">
        <v>60</v>
      </c>
      <c r="J8">
        <v>54.44</v>
      </c>
      <c r="K8">
        <v>52.73</v>
      </c>
      <c r="L8" s="26">
        <v>-1.71</v>
      </c>
      <c r="M8" s="16">
        <v>57.78</v>
      </c>
      <c r="O8" t="s">
        <v>192</v>
      </c>
      <c r="P8" t="s">
        <v>30</v>
      </c>
      <c r="Q8">
        <v>48.24</v>
      </c>
      <c r="R8">
        <v>52.4</v>
      </c>
      <c r="S8">
        <v>4.16</v>
      </c>
      <c r="T8" s="21">
        <v>52.223333333333301</v>
      </c>
      <c r="V8" t="s">
        <v>192</v>
      </c>
      <c r="W8" t="s">
        <v>61</v>
      </c>
      <c r="X8">
        <v>61.59</v>
      </c>
      <c r="Y8">
        <v>65.05</v>
      </c>
      <c r="Z8">
        <v>3.46</v>
      </c>
      <c r="AA8" s="16">
        <v>1.1100000000000001</v>
      </c>
    </row>
    <row r="9" spans="1:27" x14ac:dyDescent="0.3">
      <c r="A9" t="s">
        <v>262</v>
      </c>
      <c r="B9" t="s">
        <v>59</v>
      </c>
      <c r="C9">
        <v>64.22</v>
      </c>
      <c r="D9">
        <v>68.08</v>
      </c>
      <c r="E9">
        <v>3.86</v>
      </c>
      <c r="F9" s="20">
        <v>30</v>
      </c>
      <c r="H9" t="s">
        <v>262</v>
      </c>
      <c r="I9" t="s">
        <v>60</v>
      </c>
      <c r="J9">
        <v>47.95</v>
      </c>
      <c r="K9">
        <v>49.86</v>
      </c>
      <c r="L9">
        <v>1.91</v>
      </c>
      <c r="M9" s="16">
        <v>63.3333333333333</v>
      </c>
      <c r="O9" t="s">
        <v>262</v>
      </c>
      <c r="P9" t="s">
        <v>30</v>
      </c>
      <c r="Q9">
        <v>48.11</v>
      </c>
      <c r="R9">
        <v>50.5</v>
      </c>
      <c r="S9">
        <v>2.39</v>
      </c>
      <c r="T9" s="4">
        <v>22.223333333333301</v>
      </c>
      <c r="V9" t="s">
        <v>262</v>
      </c>
      <c r="W9" t="s">
        <v>61</v>
      </c>
      <c r="X9">
        <v>64.42</v>
      </c>
      <c r="Y9">
        <v>69.010000000000005</v>
      </c>
      <c r="Z9">
        <v>4.59</v>
      </c>
      <c r="AA9" s="16">
        <v>10</v>
      </c>
    </row>
    <row r="10" spans="1:27" x14ac:dyDescent="0.3">
      <c r="A10" t="s">
        <v>263</v>
      </c>
      <c r="B10" t="s">
        <v>59</v>
      </c>
      <c r="C10">
        <v>63.42</v>
      </c>
      <c r="D10">
        <v>71.12</v>
      </c>
      <c r="E10">
        <v>7.7</v>
      </c>
      <c r="F10" s="20">
        <v>41.1</v>
      </c>
      <c r="H10" t="s">
        <v>263</v>
      </c>
      <c r="I10" t="s">
        <v>60</v>
      </c>
      <c r="J10">
        <v>51.76</v>
      </c>
      <c r="K10">
        <v>53.74</v>
      </c>
      <c r="L10">
        <v>1.98</v>
      </c>
      <c r="M10" s="19">
        <v>40</v>
      </c>
      <c r="O10" t="s">
        <v>263</v>
      </c>
      <c r="P10" t="s">
        <v>30</v>
      </c>
      <c r="Q10">
        <v>49.29</v>
      </c>
      <c r="R10">
        <v>51.65</v>
      </c>
      <c r="S10">
        <v>2.36</v>
      </c>
      <c r="T10" s="21">
        <v>81.11</v>
      </c>
      <c r="V10" t="s">
        <v>263</v>
      </c>
      <c r="W10" t="s">
        <v>61</v>
      </c>
      <c r="X10">
        <v>65.989999999999995</v>
      </c>
      <c r="Y10">
        <v>67.03</v>
      </c>
      <c r="Z10">
        <v>1.04</v>
      </c>
      <c r="AA10" s="16">
        <v>11.1133333333333</v>
      </c>
    </row>
    <row r="11" spans="1:27" x14ac:dyDescent="0.3">
      <c r="A11" t="s">
        <v>194</v>
      </c>
      <c r="B11" t="s">
        <v>59</v>
      </c>
      <c r="C11">
        <v>66.78</v>
      </c>
      <c r="D11">
        <v>74.67</v>
      </c>
      <c r="E11">
        <v>7.89</v>
      </c>
      <c r="F11">
        <v>53.3</v>
      </c>
      <c r="H11" t="s">
        <v>194</v>
      </c>
      <c r="I11" t="s">
        <v>60</v>
      </c>
      <c r="J11">
        <v>50.16</v>
      </c>
      <c r="K11">
        <v>44.81</v>
      </c>
      <c r="L11" s="26">
        <v>-5.35</v>
      </c>
      <c r="M11" s="16">
        <v>68.89</v>
      </c>
      <c r="O11" t="s">
        <v>194</v>
      </c>
      <c r="P11" t="s">
        <v>30</v>
      </c>
      <c r="Q11">
        <v>51.98</v>
      </c>
      <c r="R11">
        <v>57.19</v>
      </c>
      <c r="S11">
        <v>5.21</v>
      </c>
      <c r="T11" s="21">
        <v>60</v>
      </c>
      <c r="V11" t="s">
        <v>194</v>
      </c>
      <c r="W11" t="s">
        <v>61</v>
      </c>
      <c r="X11">
        <v>67.760000000000005</v>
      </c>
      <c r="Y11">
        <v>69.03</v>
      </c>
      <c r="Z11">
        <v>1.27</v>
      </c>
      <c r="AA11" s="16">
        <v>17.776666666666699</v>
      </c>
    </row>
    <row r="12" spans="1:27" x14ac:dyDescent="0.3">
      <c r="A12" t="s">
        <v>264</v>
      </c>
      <c r="B12" t="s">
        <v>59</v>
      </c>
      <c r="C12">
        <v>64.39</v>
      </c>
      <c r="D12">
        <v>70.8</v>
      </c>
      <c r="E12">
        <v>6.41</v>
      </c>
      <c r="F12">
        <v>51.1</v>
      </c>
      <c r="H12" t="s">
        <v>264</v>
      </c>
      <c r="I12" t="s">
        <v>60</v>
      </c>
      <c r="J12">
        <v>50.73</v>
      </c>
      <c r="K12">
        <v>52.71</v>
      </c>
      <c r="L12">
        <v>1.98</v>
      </c>
      <c r="M12" s="16">
        <v>66.67</v>
      </c>
      <c r="O12" t="s">
        <v>264</v>
      </c>
      <c r="P12" t="s">
        <v>30</v>
      </c>
      <c r="Q12">
        <v>52.88</v>
      </c>
      <c r="R12">
        <v>57.76</v>
      </c>
      <c r="S12">
        <v>4.88</v>
      </c>
      <c r="T12" s="4">
        <v>33.64</v>
      </c>
      <c r="V12" t="s">
        <v>264</v>
      </c>
      <c r="W12" t="s">
        <v>61</v>
      </c>
      <c r="X12">
        <v>67.61</v>
      </c>
      <c r="Y12">
        <v>74.010000000000005</v>
      </c>
      <c r="Z12">
        <v>6.4</v>
      </c>
      <c r="AA12" s="16">
        <v>46.67</v>
      </c>
    </row>
    <row r="13" spans="1:27" x14ac:dyDescent="0.3">
      <c r="A13" t="s">
        <v>265</v>
      </c>
      <c r="B13" t="s">
        <v>59</v>
      </c>
      <c r="C13">
        <v>65.92</v>
      </c>
      <c r="D13">
        <v>77.150000000000006</v>
      </c>
      <c r="E13">
        <v>11.23</v>
      </c>
      <c r="F13">
        <v>54.4</v>
      </c>
      <c r="H13" t="s">
        <v>265</v>
      </c>
      <c r="I13" t="s">
        <v>60</v>
      </c>
      <c r="J13">
        <v>42.33</v>
      </c>
      <c r="K13">
        <v>51.75</v>
      </c>
      <c r="L13">
        <v>9.42</v>
      </c>
      <c r="M13" s="16">
        <v>90</v>
      </c>
      <c r="O13" t="s">
        <v>265</v>
      </c>
      <c r="P13" t="s">
        <v>30</v>
      </c>
      <c r="Q13">
        <v>50.52</v>
      </c>
      <c r="R13">
        <v>51.71</v>
      </c>
      <c r="S13">
        <v>1.19</v>
      </c>
      <c r="T13" s="4">
        <v>32.223333333333301</v>
      </c>
      <c r="V13" t="s">
        <v>265</v>
      </c>
      <c r="W13" t="s">
        <v>61</v>
      </c>
      <c r="X13">
        <v>67.36</v>
      </c>
      <c r="Y13">
        <v>65.34</v>
      </c>
      <c r="Z13" s="26">
        <v>-2.02</v>
      </c>
      <c r="AA13" s="16">
        <v>11.1133333333333</v>
      </c>
    </row>
    <row r="14" spans="1:27" x14ac:dyDescent="0.3">
      <c r="A14" t="s">
        <v>196</v>
      </c>
      <c r="B14" t="s">
        <v>59</v>
      </c>
      <c r="C14">
        <v>65.17</v>
      </c>
      <c r="D14">
        <v>78.489999999999995</v>
      </c>
      <c r="E14">
        <v>13.32</v>
      </c>
      <c r="F14" s="20">
        <v>48.9</v>
      </c>
      <c r="H14" t="s">
        <v>196</v>
      </c>
      <c r="I14" t="s">
        <v>60</v>
      </c>
      <c r="J14">
        <v>45.91</v>
      </c>
      <c r="K14">
        <v>48.83</v>
      </c>
      <c r="L14">
        <v>2.92</v>
      </c>
      <c r="M14" s="16">
        <v>67.776666666666699</v>
      </c>
      <c r="O14" t="s">
        <v>196</v>
      </c>
      <c r="P14" t="s">
        <v>30</v>
      </c>
      <c r="Q14">
        <v>53.1</v>
      </c>
      <c r="R14">
        <v>55.08</v>
      </c>
      <c r="S14">
        <v>1.98</v>
      </c>
      <c r="T14" s="4">
        <v>8.8866666666666703</v>
      </c>
      <c r="V14" t="s">
        <v>196</v>
      </c>
      <c r="W14" t="s">
        <v>61</v>
      </c>
      <c r="X14">
        <v>65.17</v>
      </c>
      <c r="Y14">
        <v>64.59</v>
      </c>
      <c r="Z14" s="26">
        <v>-0.57999999999999996</v>
      </c>
      <c r="AA14" s="16">
        <v>7.7766666666666699</v>
      </c>
    </row>
    <row r="18" spans="1:27" x14ac:dyDescent="0.3">
      <c r="A18" t="s">
        <v>339</v>
      </c>
      <c r="B18" t="s">
        <v>58</v>
      </c>
      <c r="C18" t="s">
        <v>340</v>
      </c>
      <c r="D18" t="s">
        <v>341</v>
      </c>
      <c r="E18" t="s">
        <v>342</v>
      </c>
      <c r="F18" t="s">
        <v>343</v>
      </c>
      <c r="H18" t="s">
        <v>339</v>
      </c>
      <c r="I18" t="s">
        <v>58</v>
      </c>
      <c r="J18" t="s">
        <v>340</v>
      </c>
      <c r="K18" t="s">
        <v>341</v>
      </c>
      <c r="L18" t="s">
        <v>342</v>
      </c>
      <c r="M18" t="s">
        <v>343</v>
      </c>
      <c r="O18" t="s">
        <v>339</v>
      </c>
      <c r="P18" t="s">
        <v>58</v>
      </c>
      <c r="Q18" t="s">
        <v>340</v>
      </c>
      <c r="R18" t="s">
        <v>341</v>
      </c>
      <c r="S18" t="s">
        <v>342</v>
      </c>
      <c r="T18" t="s">
        <v>343</v>
      </c>
      <c r="V18" t="s">
        <v>339</v>
      </c>
      <c r="W18" t="s">
        <v>58</v>
      </c>
      <c r="X18" t="s">
        <v>340</v>
      </c>
      <c r="Y18" t="s">
        <v>341</v>
      </c>
      <c r="Z18" t="s">
        <v>342</v>
      </c>
      <c r="AA18" t="s">
        <v>343</v>
      </c>
    </row>
    <row r="19" spans="1:27" x14ac:dyDescent="0.3">
      <c r="A19" t="s">
        <v>59</v>
      </c>
      <c r="B19" t="s">
        <v>2</v>
      </c>
      <c r="C19">
        <v>59.28</v>
      </c>
      <c r="D19">
        <v>63.74</v>
      </c>
      <c r="E19">
        <v>1.29</v>
      </c>
      <c r="F19">
        <f>MIN(F3:F14)</f>
        <v>30</v>
      </c>
      <c r="H19" t="s">
        <v>60</v>
      </c>
      <c r="I19" t="s">
        <v>2</v>
      </c>
      <c r="J19">
        <v>41.41</v>
      </c>
      <c r="K19">
        <v>44.81</v>
      </c>
      <c r="L19">
        <v>-5.35</v>
      </c>
      <c r="M19" s="16">
        <f>MIN(M3:M14)</f>
        <v>40</v>
      </c>
      <c r="O19" t="s">
        <v>30</v>
      </c>
      <c r="P19" t="s">
        <v>2</v>
      </c>
      <c r="Q19">
        <v>46.56</v>
      </c>
      <c r="R19">
        <v>49.76</v>
      </c>
      <c r="S19">
        <v>0.54</v>
      </c>
      <c r="T19" s="16">
        <f>MIN(T3:T14)</f>
        <v>1.1100000000000001</v>
      </c>
      <c r="V19" t="s">
        <v>61</v>
      </c>
      <c r="W19" t="s">
        <v>2</v>
      </c>
      <c r="X19">
        <v>53.39</v>
      </c>
      <c r="Y19">
        <v>52.16</v>
      </c>
      <c r="Z19">
        <v>-2.02</v>
      </c>
      <c r="AA19" s="16">
        <f>MIN(AA3:AA14)</f>
        <v>0</v>
      </c>
    </row>
    <row r="20" spans="1:27" x14ac:dyDescent="0.3">
      <c r="A20" t="s">
        <v>59</v>
      </c>
      <c r="B20" t="s">
        <v>3</v>
      </c>
      <c r="C20">
        <v>70.760000000000005</v>
      </c>
      <c r="D20">
        <v>80.03</v>
      </c>
      <c r="E20">
        <v>20.62</v>
      </c>
      <c r="F20">
        <f>MAX(F3:F14)</f>
        <v>71.099999999999994</v>
      </c>
      <c r="H20" t="s">
        <v>60</v>
      </c>
      <c r="I20" t="s">
        <v>3</v>
      </c>
      <c r="J20">
        <v>54.44</v>
      </c>
      <c r="K20">
        <v>55.14</v>
      </c>
      <c r="L20">
        <v>9.42</v>
      </c>
      <c r="M20" s="16">
        <f>MAX(M3:M14)</f>
        <v>92.223333333333301</v>
      </c>
      <c r="O20" t="s">
        <v>30</v>
      </c>
      <c r="P20" t="s">
        <v>3</v>
      </c>
      <c r="Q20">
        <v>54.32</v>
      </c>
      <c r="R20">
        <v>60.05</v>
      </c>
      <c r="S20">
        <v>13.49</v>
      </c>
      <c r="T20" s="16">
        <f>MAX(T3:T14)</f>
        <v>81.11</v>
      </c>
      <c r="V20" t="s">
        <v>61</v>
      </c>
      <c r="W20" t="s">
        <v>3</v>
      </c>
      <c r="X20">
        <v>67.760000000000005</v>
      </c>
      <c r="Y20">
        <v>74.010000000000005</v>
      </c>
      <c r="Z20">
        <v>6.4</v>
      </c>
      <c r="AA20" s="16">
        <f>MAX(AA3:AA14)</f>
        <v>46.67</v>
      </c>
    </row>
    <row r="21" spans="1:27" x14ac:dyDescent="0.3">
      <c r="A21" t="s">
        <v>59</v>
      </c>
      <c r="B21" t="s">
        <v>4</v>
      </c>
      <c r="C21">
        <v>63.71</v>
      </c>
      <c r="D21">
        <v>73.02</v>
      </c>
      <c r="E21">
        <v>9.31</v>
      </c>
      <c r="F21" s="4">
        <f>AVERAGE(F3:F14)</f>
        <v>51.841666666666669</v>
      </c>
      <c r="H21" t="s">
        <v>60</v>
      </c>
      <c r="I21" t="s">
        <v>4</v>
      </c>
      <c r="J21">
        <v>47.13</v>
      </c>
      <c r="K21">
        <v>50.72</v>
      </c>
      <c r="L21">
        <v>3.59</v>
      </c>
      <c r="M21" s="16">
        <f>AVERAGE(M3:M14)</f>
        <v>70.000555555555536</v>
      </c>
      <c r="O21" t="s">
        <v>30</v>
      </c>
      <c r="P21" t="s">
        <v>4</v>
      </c>
      <c r="Q21">
        <v>50.53</v>
      </c>
      <c r="R21">
        <v>54.75</v>
      </c>
      <c r="S21">
        <v>4.22</v>
      </c>
      <c r="T21" s="16">
        <f>AVERAGE(T3:T14)</f>
        <v>35.858888888888877</v>
      </c>
      <c r="V21" t="s">
        <v>61</v>
      </c>
      <c r="W21" t="s">
        <v>4</v>
      </c>
      <c r="X21">
        <v>61.75</v>
      </c>
      <c r="Y21">
        <v>63.77</v>
      </c>
      <c r="Z21">
        <v>2.02</v>
      </c>
      <c r="AA21" s="16">
        <f>AVERAGE(AA3:AA14)</f>
        <v>13.148611111111107</v>
      </c>
    </row>
    <row r="23" spans="1:27" x14ac:dyDescent="0.3">
      <c r="A23" t="s">
        <v>59</v>
      </c>
      <c r="B23" t="s">
        <v>60</v>
      </c>
      <c r="C23" t="s">
        <v>30</v>
      </c>
      <c r="D23" t="s">
        <v>61</v>
      </c>
    </row>
    <row r="24" spans="1:27" x14ac:dyDescent="0.3">
      <c r="A24">
        <v>9.3092307692307692</v>
      </c>
      <c r="B24">
        <v>3.58615384615385</v>
      </c>
      <c r="C24">
        <v>4.2161538461538504</v>
      </c>
      <c r="D24">
        <v>2.0192307692307701</v>
      </c>
    </row>
    <row r="25" spans="1:27" x14ac:dyDescent="0.3">
      <c r="A25" t="s">
        <v>557</v>
      </c>
    </row>
  </sheetData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4:R131"/>
  <sheetViews>
    <sheetView workbookViewId="0">
      <selection activeCell="E5" sqref="E5:E7"/>
    </sheetView>
  </sheetViews>
  <sheetFormatPr defaultColWidth="11.44140625" defaultRowHeight="14.4" x14ac:dyDescent="0.3"/>
  <sheetData>
    <row r="4" spans="1:8" x14ac:dyDescent="0.3">
      <c r="A4" s="2" t="s">
        <v>345</v>
      </c>
      <c r="B4" s="2" t="s">
        <v>346</v>
      </c>
      <c r="C4" s="2" t="s">
        <v>347</v>
      </c>
      <c r="D4" s="2" t="s">
        <v>348</v>
      </c>
      <c r="E4" s="2" t="s">
        <v>349</v>
      </c>
    </row>
    <row r="5" spans="1:8" x14ac:dyDescent="0.3">
      <c r="A5" t="s">
        <v>339</v>
      </c>
      <c r="B5">
        <v>6</v>
      </c>
      <c r="C5">
        <v>144</v>
      </c>
      <c r="D5">
        <v>29.161997341246099</v>
      </c>
      <c r="E5">
        <v>1.12632350232712E-22</v>
      </c>
    </row>
    <row r="6" spans="1:8" x14ac:dyDescent="0.3">
      <c r="A6" t="s">
        <v>169</v>
      </c>
      <c r="B6">
        <v>11</v>
      </c>
      <c r="C6">
        <v>144</v>
      </c>
      <c r="D6">
        <v>5.7452325696602404</v>
      </c>
      <c r="E6">
        <v>1.1945308343796899E-7</v>
      </c>
    </row>
    <row r="7" spans="1:8" x14ac:dyDescent="0.3">
      <c r="A7" t="s">
        <v>411</v>
      </c>
      <c r="B7">
        <v>66</v>
      </c>
      <c r="C7">
        <v>144</v>
      </c>
      <c r="D7">
        <v>7.5948224101126902</v>
      </c>
      <c r="E7">
        <v>2.85407716384354E-24</v>
      </c>
    </row>
    <row r="10" spans="1:8" x14ac:dyDescent="0.3">
      <c r="A10" s="2" t="s">
        <v>339</v>
      </c>
      <c r="B10" s="2" t="s">
        <v>352</v>
      </c>
      <c r="C10" s="2" t="s">
        <v>353</v>
      </c>
      <c r="D10" s="2" t="s">
        <v>354</v>
      </c>
      <c r="E10" s="2" t="s">
        <v>355</v>
      </c>
      <c r="F10" s="2" t="s">
        <v>4</v>
      </c>
      <c r="G10" s="2" t="s">
        <v>356</v>
      </c>
      <c r="H10" s="2" t="s">
        <v>357</v>
      </c>
    </row>
    <row r="11" spans="1:8" x14ac:dyDescent="0.3">
      <c r="A11" t="s">
        <v>358</v>
      </c>
      <c r="B11">
        <v>2.7744449650974699</v>
      </c>
      <c r="C11">
        <v>5.2440573438272797E-2</v>
      </c>
      <c r="D11">
        <v>52.906457408655797</v>
      </c>
      <c r="E11">
        <v>0</v>
      </c>
      <c r="F11">
        <v>16.029727467887099</v>
      </c>
      <c r="G11">
        <v>0.84060810047523105</v>
      </c>
      <c r="H11" t="s">
        <v>399</v>
      </c>
    </row>
    <row r="12" spans="1:8" x14ac:dyDescent="0.3">
      <c r="A12" t="s">
        <v>360</v>
      </c>
      <c r="B12">
        <v>3.2796223383255598</v>
      </c>
      <c r="C12">
        <v>3.9852536816255599E-2</v>
      </c>
      <c r="D12">
        <v>82.2939416240078</v>
      </c>
      <c r="E12">
        <v>0</v>
      </c>
      <c r="F12">
        <v>26.5657379440471</v>
      </c>
      <c r="G12">
        <v>1.05871204946613</v>
      </c>
      <c r="H12" t="s">
        <v>396</v>
      </c>
    </row>
    <row r="13" spans="1:8" x14ac:dyDescent="0.3">
      <c r="A13" t="s">
        <v>362</v>
      </c>
      <c r="B13">
        <v>2.92788400687586</v>
      </c>
      <c r="C13">
        <v>4.1604295207458002E-2</v>
      </c>
      <c r="D13">
        <v>70.374560902332206</v>
      </c>
      <c r="E13">
        <v>0</v>
      </c>
      <c r="F13">
        <v>18.688044855552899</v>
      </c>
      <c r="G13">
        <v>0.77750293502063905</v>
      </c>
      <c r="H13" t="s">
        <v>454</v>
      </c>
    </row>
    <row r="14" spans="1:8" x14ac:dyDescent="0.3">
      <c r="A14" t="s">
        <v>364</v>
      </c>
      <c r="B14">
        <v>3.3079836137156802</v>
      </c>
      <c r="C14">
        <v>3.2782161460294397E-2</v>
      </c>
      <c r="D14">
        <v>100.90803859050899</v>
      </c>
      <c r="E14">
        <v>0</v>
      </c>
      <c r="F14">
        <v>27.3299621145161</v>
      </c>
      <c r="G14">
        <v>0.89593523074179504</v>
      </c>
      <c r="H14" t="s">
        <v>396</v>
      </c>
    </row>
    <row r="15" spans="1:8" x14ac:dyDescent="0.3">
      <c r="A15" t="s">
        <v>366</v>
      </c>
      <c r="B15">
        <v>2.64790198951582</v>
      </c>
      <c r="C15">
        <v>4.6169231063925099E-2</v>
      </c>
      <c r="D15">
        <v>57.352092042632997</v>
      </c>
      <c r="E15">
        <v>0</v>
      </c>
      <c r="F15">
        <v>14.1243744526789</v>
      </c>
      <c r="G15">
        <v>0.65211150773913096</v>
      </c>
      <c r="H15" t="s">
        <v>455</v>
      </c>
    </row>
    <row r="16" spans="1:8" x14ac:dyDescent="0.3">
      <c r="A16" t="s">
        <v>368</v>
      </c>
      <c r="B16">
        <v>2.1331813604929502</v>
      </c>
      <c r="C16">
        <v>6.3355201814973394E-2</v>
      </c>
      <c r="D16">
        <v>33.670184915878501</v>
      </c>
      <c r="E16">
        <v>1.57955427794344E-248</v>
      </c>
      <c r="F16">
        <v>8.4416801651246196</v>
      </c>
      <c r="G16">
        <v>0.53482435051892796</v>
      </c>
      <c r="H16" t="s">
        <v>397</v>
      </c>
    </row>
    <row r="17" spans="1:18" x14ac:dyDescent="0.3">
      <c r="A17" t="s">
        <v>370</v>
      </c>
      <c r="B17">
        <v>2.0234159185245799</v>
      </c>
      <c r="C17">
        <v>6.9646590004021305E-2</v>
      </c>
      <c r="D17">
        <v>29.052620069521701</v>
      </c>
      <c r="E17">
        <v>1.4258875469568799E-185</v>
      </c>
      <c r="F17">
        <v>7.5641192680377003</v>
      </c>
      <c r="G17">
        <v>0.52681511340253895</v>
      </c>
      <c r="H17" t="s">
        <v>397</v>
      </c>
    </row>
    <row r="20" spans="1:18" x14ac:dyDescent="0.3">
      <c r="A20" s="2" t="s">
        <v>169</v>
      </c>
      <c r="B20" s="2" t="s">
        <v>352</v>
      </c>
      <c r="C20" s="2" t="s">
        <v>353</v>
      </c>
      <c r="D20" s="2" t="s">
        <v>354</v>
      </c>
      <c r="E20" s="2" t="s">
        <v>355</v>
      </c>
      <c r="F20" s="2" t="s">
        <v>4</v>
      </c>
      <c r="G20" s="2" t="s">
        <v>356</v>
      </c>
      <c r="J20" s="2" t="s">
        <v>339</v>
      </c>
      <c r="K20" s="2" t="s">
        <v>169</v>
      </c>
      <c r="L20" s="2" t="s">
        <v>352</v>
      </c>
      <c r="M20" s="2" t="s">
        <v>353</v>
      </c>
      <c r="N20" s="2" t="s">
        <v>354</v>
      </c>
      <c r="O20" s="2" t="s">
        <v>355</v>
      </c>
      <c r="P20" s="2" t="s">
        <v>4</v>
      </c>
      <c r="Q20" s="2" t="s">
        <v>356</v>
      </c>
      <c r="R20" s="2" t="s">
        <v>357</v>
      </c>
    </row>
    <row r="21" spans="1:18" x14ac:dyDescent="0.3">
      <c r="A21" t="s">
        <v>412</v>
      </c>
      <c r="B21">
        <v>2.0361736870178802</v>
      </c>
      <c r="C21">
        <v>9.3146418794286201E-2</v>
      </c>
      <c r="D21">
        <v>21.859924550773901</v>
      </c>
      <c r="E21">
        <v>6.2547485812775498E-106</v>
      </c>
      <c r="F21">
        <v>7.66123874716485</v>
      </c>
      <c r="G21">
        <v>0.71361695282643001</v>
      </c>
      <c r="J21" t="s">
        <v>358</v>
      </c>
      <c r="K21" t="s">
        <v>412</v>
      </c>
      <c r="L21">
        <v>2.4548769033363298</v>
      </c>
      <c r="M21">
        <v>0.20721475636933201</v>
      </c>
      <c r="N21">
        <v>11.847017781691401</v>
      </c>
      <c r="O21">
        <v>2.22985821942985E-32</v>
      </c>
      <c r="P21">
        <v>11.6450000000003</v>
      </c>
      <c r="Q21">
        <v>2.4130158379209301</v>
      </c>
      <c r="R21" t="s">
        <v>456</v>
      </c>
    </row>
    <row r="22" spans="1:18" x14ac:dyDescent="0.3">
      <c r="A22" t="s">
        <v>413</v>
      </c>
      <c r="B22">
        <v>2.17747412781871</v>
      </c>
      <c r="C22">
        <v>8.4187927283572994E-2</v>
      </c>
      <c r="D22">
        <v>25.8644463413887</v>
      </c>
      <c r="E22">
        <v>1.6737497287745499E-147</v>
      </c>
      <c r="F22">
        <v>8.8239898159407701</v>
      </c>
      <c r="G22">
        <v>0.74287341297541098</v>
      </c>
      <c r="J22" t="s">
        <v>360</v>
      </c>
      <c r="K22" t="s">
        <v>412</v>
      </c>
      <c r="L22">
        <v>3.2104403460471</v>
      </c>
      <c r="M22">
        <v>0.14202287009277501</v>
      </c>
      <c r="N22">
        <v>22.6050941228686</v>
      </c>
      <c r="O22">
        <v>3.8615212736616502E-113</v>
      </c>
      <c r="P22">
        <v>24.790000000000099</v>
      </c>
      <c r="Q22">
        <v>3.5207469495999</v>
      </c>
      <c r="R22" t="s">
        <v>457</v>
      </c>
    </row>
    <row r="23" spans="1:18" x14ac:dyDescent="0.3">
      <c r="A23" t="s">
        <v>414</v>
      </c>
      <c r="B23">
        <v>3.05917118681691</v>
      </c>
      <c r="C23">
        <v>5.1301154467791897E-2</v>
      </c>
      <c r="D23">
        <v>59.631624639900203</v>
      </c>
      <c r="E23">
        <v>0</v>
      </c>
      <c r="F23">
        <v>21.309887924747699</v>
      </c>
      <c r="G23">
        <v>1.09322185211881</v>
      </c>
      <c r="J23" t="s">
        <v>362</v>
      </c>
      <c r="K23" t="s">
        <v>412</v>
      </c>
      <c r="L23">
        <v>1.77777322725332</v>
      </c>
      <c r="M23">
        <v>0.23735783777300201</v>
      </c>
      <c r="N23">
        <v>7.4898442113106096</v>
      </c>
      <c r="O23">
        <v>6.8955412848432598E-14</v>
      </c>
      <c r="P23">
        <v>5.9166666666666998</v>
      </c>
      <c r="Q23">
        <v>1.4043672068235999</v>
      </c>
      <c r="R23" t="s">
        <v>458</v>
      </c>
    </row>
    <row r="24" spans="1:18" x14ac:dyDescent="0.3">
      <c r="A24" t="s">
        <v>415</v>
      </c>
      <c r="B24">
        <v>2.6007760614512399</v>
      </c>
      <c r="C24">
        <v>7.3747558794770504E-2</v>
      </c>
      <c r="D24">
        <v>35.265927495835498</v>
      </c>
      <c r="E24">
        <v>1.9558270512932901E-272</v>
      </c>
      <c r="F24">
        <v>13.474190778541301</v>
      </c>
      <c r="G24">
        <v>0.99368867665242999</v>
      </c>
      <c r="J24" t="s">
        <v>364</v>
      </c>
      <c r="K24" t="s">
        <v>412</v>
      </c>
      <c r="L24">
        <v>2.7508968113707999</v>
      </c>
      <c r="M24">
        <v>0.14591401648872601</v>
      </c>
      <c r="N24">
        <v>18.852861963287399</v>
      </c>
      <c r="O24">
        <v>2.7836699682592902E-79</v>
      </c>
      <c r="P24">
        <v>15.6566666666667</v>
      </c>
      <c r="Q24">
        <v>2.2845271181585001</v>
      </c>
      <c r="R24" t="s">
        <v>459</v>
      </c>
    </row>
    <row r="25" spans="1:18" x14ac:dyDescent="0.3">
      <c r="A25" t="s">
        <v>416</v>
      </c>
      <c r="B25">
        <v>2.6681617917209399</v>
      </c>
      <c r="C25">
        <v>6.49103754426196E-2</v>
      </c>
      <c r="D25">
        <v>41.105320582833201</v>
      </c>
      <c r="E25">
        <v>0</v>
      </c>
      <c r="F25">
        <v>14.413449903339499</v>
      </c>
      <c r="G25">
        <v>0.93558244464915197</v>
      </c>
      <c r="J25" t="s">
        <v>366</v>
      </c>
      <c r="K25" t="s">
        <v>412</v>
      </c>
      <c r="L25">
        <v>1.9777778879033401</v>
      </c>
      <c r="M25">
        <v>0.21477005433224</v>
      </c>
      <c r="N25">
        <v>9.2088158847499102</v>
      </c>
      <c r="O25">
        <v>3.29742233929711E-20</v>
      </c>
      <c r="P25">
        <v>7.2266666666666701</v>
      </c>
      <c r="Q25">
        <v>1.55207159264099</v>
      </c>
      <c r="R25" t="s">
        <v>460</v>
      </c>
    </row>
    <row r="26" spans="1:18" x14ac:dyDescent="0.3">
      <c r="A26" t="s">
        <v>417</v>
      </c>
      <c r="B26">
        <v>2.5858399062513899</v>
      </c>
      <c r="C26">
        <v>7.7706889352040703E-2</v>
      </c>
      <c r="D26">
        <v>33.276842347099901</v>
      </c>
      <c r="E26">
        <v>8.3520347303512698E-243</v>
      </c>
      <c r="F26">
        <v>13.2744336889428</v>
      </c>
      <c r="G26">
        <v>1.0315149498776801</v>
      </c>
      <c r="J26" t="s">
        <v>368</v>
      </c>
      <c r="K26" t="s">
        <v>412</v>
      </c>
      <c r="L26">
        <v>0.88651857354048802</v>
      </c>
      <c r="M26">
        <v>0.370625622894448</v>
      </c>
      <c r="N26">
        <v>2.3919516589735701</v>
      </c>
      <c r="O26">
        <v>1.6759049555787602E-2</v>
      </c>
      <c r="P26">
        <v>2.4266666666666699</v>
      </c>
      <c r="Q26">
        <v>0.89938484489052894</v>
      </c>
      <c r="R26" t="s">
        <v>461</v>
      </c>
    </row>
    <row r="27" spans="1:18" x14ac:dyDescent="0.3">
      <c r="A27" t="s">
        <v>418</v>
      </c>
      <c r="B27">
        <v>2.8912531992388</v>
      </c>
      <c r="C27">
        <v>5.5868934245640198E-2</v>
      </c>
      <c r="D27">
        <v>51.750641716678501</v>
      </c>
      <c r="E27">
        <v>0</v>
      </c>
      <c r="F27">
        <v>18.015872938671802</v>
      </c>
      <c r="G27">
        <v>1.0065276205884699</v>
      </c>
      <c r="J27" t="s">
        <v>370</v>
      </c>
      <c r="K27" t="s">
        <v>412</v>
      </c>
      <c r="L27">
        <v>1.19493205967379</v>
      </c>
      <c r="M27">
        <v>0.31766159438200697</v>
      </c>
      <c r="N27">
        <v>3.7616510173301401</v>
      </c>
      <c r="O27">
        <v>1.6879545598742101E-4</v>
      </c>
      <c r="P27">
        <v>3.3033333333333399</v>
      </c>
      <c r="Q27">
        <v>1.0493421334419</v>
      </c>
      <c r="R27" t="s">
        <v>462</v>
      </c>
    </row>
    <row r="28" spans="1:18" x14ac:dyDescent="0.3">
      <c r="A28" t="s">
        <v>419</v>
      </c>
      <c r="B28">
        <v>3.3290137324182898</v>
      </c>
      <c r="C28">
        <v>4.4403935977456899E-2</v>
      </c>
      <c r="D28">
        <v>74.971140713930595</v>
      </c>
      <c r="E28">
        <v>0</v>
      </c>
      <c r="F28">
        <v>27.9108006062058</v>
      </c>
      <c r="G28">
        <v>1.2393494031975301</v>
      </c>
      <c r="J28" t="s">
        <v>358</v>
      </c>
      <c r="K28" t="s">
        <v>413</v>
      </c>
      <c r="L28">
        <v>2.80245087652369</v>
      </c>
      <c r="M28">
        <v>0.1741599151754</v>
      </c>
      <c r="N28">
        <v>16.091250812227901</v>
      </c>
      <c r="O28">
        <v>2.9384038295632399E-58</v>
      </c>
      <c r="P28">
        <v>16.4849999999999</v>
      </c>
      <c r="Q28">
        <v>2.8710262016664401</v>
      </c>
      <c r="R28" t="s">
        <v>463</v>
      </c>
    </row>
    <row r="29" spans="1:18" x14ac:dyDescent="0.3">
      <c r="A29" t="s">
        <v>420</v>
      </c>
      <c r="B29">
        <v>3.0550148656923901</v>
      </c>
      <c r="C29">
        <v>5.0888155850448501E-2</v>
      </c>
      <c r="D29">
        <v>60.033907981860402</v>
      </c>
      <c r="E29">
        <v>0</v>
      </c>
      <c r="F29">
        <v>21.2215009968732</v>
      </c>
      <c r="G29">
        <v>1.07992305010933</v>
      </c>
      <c r="J29" t="s">
        <v>360</v>
      </c>
      <c r="K29" t="s">
        <v>413</v>
      </c>
      <c r="L29">
        <v>3.2765785349965002</v>
      </c>
      <c r="M29">
        <v>0.13740335879866999</v>
      </c>
      <c r="N29">
        <v>23.846422413861799</v>
      </c>
      <c r="O29">
        <v>1.10299501276267E-125</v>
      </c>
      <c r="P29">
        <v>26.485000000000198</v>
      </c>
      <c r="Q29">
        <v>3.6391279577828</v>
      </c>
      <c r="R29" t="s">
        <v>464</v>
      </c>
    </row>
    <row r="30" spans="1:18" x14ac:dyDescent="0.3">
      <c r="A30" t="s">
        <v>421</v>
      </c>
      <c r="B30">
        <v>2.6972399411016799</v>
      </c>
      <c r="C30">
        <v>6.4777841531093602E-2</v>
      </c>
      <c r="D30">
        <v>41.638311455731298</v>
      </c>
      <c r="E30">
        <v>0</v>
      </c>
      <c r="F30">
        <v>14.8387194131546</v>
      </c>
      <c r="G30">
        <v>0.96122021466969199</v>
      </c>
      <c r="J30" t="s">
        <v>362</v>
      </c>
      <c r="K30" t="s">
        <v>413</v>
      </c>
      <c r="L30">
        <v>2.00642271977634</v>
      </c>
      <c r="M30">
        <v>0.211715999237961</v>
      </c>
      <c r="N30">
        <v>9.4769536879505996</v>
      </c>
      <c r="O30">
        <v>2.6181472852829199E-21</v>
      </c>
      <c r="P30">
        <v>7.4366666666667101</v>
      </c>
      <c r="Q30">
        <v>1.57446131433298</v>
      </c>
      <c r="R30" t="s">
        <v>465</v>
      </c>
    </row>
    <row r="31" spans="1:18" x14ac:dyDescent="0.3">
      <c r="A31" t="s">
        <v>422</v>
      </c>
      <c r="B31">
        <v>2.8177721774025901</v>
      </c>
      <c r="C31">
        <v>5.90305987706869E-2</v>
      </c>
      <c r="D31">
        <v>47.734094454109098</v>
      </c>
      <c r="E31">
        <v>0</v>
      </c>
      <c r="F31">
        <v>16.7395164275773</v>
      </c>
      <c r="G31">
        <v>0.98814367785164003</v>
      </c>
      <c r="J31" t="s">
        <v>364</v>
      </c>
      <c r="K31" t="s">
        <v>413</v>
      </c>
      <c r="L31">
        <v>2.53633882342027</v>
      </c>
      <c r="M31">
        <v>0.16243749338643201</v>
      </c>
      <c r="N31">
        <v>15.614245027694601</v>
      </c>
      <c r="O31">
        <v>5.8230304167911401E-55</v>
      </c>
      <c r="P31">
        <v>12.6333333333334</v>
      </c>
      <c r="Q31">
        <v>2.05212699978193</v>
      </c>
      <c r="R31" t="s">
        <v>466</v>
      </c>
    </row>
    <row r="32" spans="1:18" x14ac:dyDescent="0.3">
      <c r="A32" t="s">
        <v>423</v>
      </c>
      <c r="B32">
        <v>2.8154250817227502</v>
      </c>
      <c r="C32">
        <v>6.2126697051203897E-2</v>
      </c>
      <c r="D32">
        <v>45.317475664323901</v>
      </c>
      <c r="E32">
        <v>0</v>
      </c>
      <c r="F32">
        <v>16.700273252646301</v>
      </c>
      <c r="G32">
        <v>1.03753281703948</v>
      </c>
      <c r="J32" t="s">
        <v>366</v>
      </c>
      <c r="K32" t="s">
        <v>413</v>
      </c>
      <c r="L32">
        <v>2.0381854251644902</v>
      </c>
      <c r="M32">
        <v>0.208380274863043</v>
      </c>
      <c r="N32">
        <v>9.7810861728830893</v>
      </c>
      <c r="O32">
        <v>1.3574584696755401E-22</v>
      </c>
      <c r="P32">
        <v>7.6766666666666898</v>
      </c>
      <c r="Q32">
        <v>1.5996659100319599</v>
      </c>
      <c r="R32" t="s">
        <v>465</v>
      </c>
    </row>
    <row r="33" spans="1:18" x14ac:dyDescent="0.3">
      <c r="J33" t="s">
        <v>368</v>
      </c>
      <c r="K33" t="s">
        <v>413</v>
      </c>
      <c r="L33">
        <v>1.25085639022479</v>
      </c>
      <c r="M33">
        <v>0.30890218890694998</v>
      </c>
      <c r="N33">
        <v>4.0493607204628201</v>
      </c>
      <c r="O33">
        <v>5.13577321136928E-5</v>
      </c>
      <c r="P33">
        <v>3.4933333333333501</v>
      </c>
      <c r="Q33">
        <v>1.0790983132482801</v>
      </c>
      <c r="R33" t="s">
        <v>467</v>
      </c>
    </row>
    <row r="34" spans="1:18" x14ac:dyDescent="0.3">
      <c r="J34" t="s">
        <v>370</v>
      </c>
      <c r="K34" t="s">
        <v>413</v>
      </c>
      <c r="L34">
        <v>1.3314861246248999</v>
      </c>
      <c r="M34">
        <v>0.29669661945722497</v>
      </c>
      <c r="N34">
        <v>4.48770237780501</v>
      </c>
      <c r="O34">
        <v>7.1995410031794702E-6</v>
      </c>
      <c r="P34">
        <v>3.7866666666666799</v>
      </c>
      <c r="Q34">
        <v>1.1234911990113601</v>
      </c>
      <c r="R34" t="s">
        <v>468</v>
      </c>
    </row>
    <row r="35" spans="1:18" x14ac:dyDescent="0.3">
      <c r="J35" t="s">
        <v>358</v>
      </c>
      <c r="K35" t="s">
        <v>414</v>
      </c>
      <c r="L35">
        <v>2.8237570088141801</v>
      </c>
      <c r="M35">
        <v>0.17231449119652201</v>
      </c>
      <c r="N35">
        <v>16.387228892976399</v>
      </c>
      <c r="O35">
        <v>2.3595873462013299E-60</v>
      </c>
      <c r="P35">
        <v>16.84</v>
      </c>
      <c r="Q35">
        <v>2.9017760317494301</v>
      </c>
      <c r="R35" t="s">
        <v>469</v>
      </c>
    </row>
    <row r="36" spans="1:18" x14ac:dyDescent="0.3">
      <c r="J36" t="s">
        <v>360</v>
      </c>
      <c r="K36" t="s">
        <v>414</v>
      </c>
      <c r="L36">
        <v>3.3098128198603098</v>
      </c>
      <c r="M36">
        <v>0.13513910323397299</v>
      </c>
      <c r="N36">
        <v>24.491895688621401</v>
      </c>
      <c r="O36">
        <v>1.8021155006798599E-132</v>
      </c>
      <c r="P36">
        <v>27.380000000000202</v>
      </c>
      <c r="Q36">
        <v>3.7001086465462198</v>
      </c>
      <c r="R36" t="s">
        <v>470</v>
      </c>
    </row>
    <row r="37" spans="1:18" x14ac:dyDescent="0.3">
      <c r="A37" s="2" t="s">
        <v>339</v>
      </c>
      <c r="B37" s="2" t="s">
        <v>352</v>
      </c>
      <c r="C37" s="2" t="s">
        <v>357</v>
      </c>
      <c r="J37" t="s">
        <v>362</v>
      </c>
      <c r="K37" t="s">
        <v>414</v>
      </c>
      <c r="L37">
        <v>3.2718477096343102</v>
      </c>
      <c r="M37">
        <v>0.112455045864414</v>
      </c>
      <c r="N37">
        <v>29.0947167775747</v>
      </c>
      <c r="O37">
        <v>4.1871876121423696E-186</v>
      </c>
      <c r="P37">
        <v>26.360000000000099</v>
      </c>
      <c r="Q37">
        <v>2.9643150089859698</v>
      </c>
      <c r="R37" t="s">
        <v>470</v>
      </c>
    </row>
    <row r="38" spans="1:18" x14ac:dyDescent="0.3">
      <c r="A38" t="s">
        <v>364</v>
      </c>
      <c r="B38">
        <v>3.3079836137156802</v>
      </c>
      <c r="C38" t="s">
        <v>396</v>
      </c>
      <c r="J38" t="s">
        <v>364</v>
      </c>
      <c r="K38" t="s">
        <v>414</v>
      </c>
      <c r="L38">
        <v>3.4020858757232699</v>
      </c>
      <c r="M38">
        <v>0.10536583090601399</v>
      </c>
      <c r="N38">
        <v>32.288321996510497</v>
      </c>
      <c r="O38">
        <v>1.02028157965422E-228</v>
      </c>
      <c r="P38">
        <v>30.026666666666799</v>
      </c>
      <c r="Q38">
        <v>3.1637846826712699</v>
      </c>
      <c r="R38" t="s">
        <v>471</v>
      </c>
    </row>
    <row r="39" spans="1:18" x14ac:dyDescent="0.3">
      <c r="A39" t="s">
        <v>360</v>
      </c>
      <c r="B39">
        <v>3.2796223383255598</v>
      </c>
      <c r="C39" t="s">
        <v>396</v>
      </c>
      <c r="J39" t="s">
        <v>366</v>
      </c>
      <c r="K39" t="s">
        <v>414</v>
      </c>
      <c r="L39">
        <v>3.0461084808790599</v>
      </c>
      <c r="M39">
        <v>0.12589112566852401</v>
      </c>
      <c r="N39">
        <v>24.196371783183299</v>
      </c>
      <c r="O39">
        <v>2.4292398756282799E-129</v>
      </c>
      <c r="P39">
        <v>21.033333333333399</v>
      </c>
      <c r="Q39">
        <v>2.6479100098946202</v>
      </c>
      <c r="R39" t="s">
        <v>472</v>
      </c>
    </row>
    <row r="40" spans="1:18" x14ac:dyDescent="0.3">
      <c r="A40" t="s">
        <v>362</v>
      </c>
      <c r="B40">
        <v>2.92788400687586</v>
      </c>
      <c r="C40" t="s">
        <v>454</v>
      </c>
      <c r="J40" t="s">
        <v>368</v>
      </c>
      <c r="K40" t="s">
        <v>414</v>
      </c>
      <c r="L40">
        <v>2.8336054240455599</v>
      </c>
      <c r="M40">
        <v>0.14000311348150499</v>
      </c>
      <c r="N40">
        <v>20.239588631861999</v>
      </c>
      <c r="O40">
        <v>4.3881650525628502E-91</v>
      </c>
      <c r="P40">
        <v>17.0066666666667</v>
      </c>
      <c r="Q40">
        <v>2.3809862832754698</v>
      </c>
      <c r="R40" t="s">
        <v>473</v>
      </c>
    </row>
    <row r="41" spans="1:18" x14ac:dyDescent="0.3">
      <c r="A41" t="s">
        <v>358</v>
      </c>
      <c r="B41">
        <v>2.7744449650974699</v>
      </c>
      <c r="C41" t="s">
        <v>399</v>
      </c>
      <c r="J41" t="s">
        <v>370</v>
      </c>
      <c r="K41" t="s">
        <v>414</v>
      </c>
      <c r="L41">
        <v>2.7269809887616501</v>
      </c>
      <c r="M41">
        <v>0.14766925871012199</v>
      </c>
      <c r="N41">
        <v>18.466815724420801</v>
      </c>
      <c r="O41">
        <v>3.8196075405089701E-76</v>
      </c>
      <c r="P41">
        <v>15.286666666666701</v>
      </c>
      <c r="Q41">
        <v>2.2573707348154102</v>
      </c>
      <c r="R41" t="s">
        <v>474</v>
      </c>
    </row>
    <row r="42" spans="1:18" x14ac:dyDescent="0.3">
      <c r="A42" t="s">
        <v>366</v>
      </c>
      <c r="B42">
        <v>2.64790198951582</v>
      </c>
      <c r="C42" t="s">
        <v>455</v>
      </c>
      <c r="J42" t="s">
        <v>358</v>
      </c>
      <c r="K42" t="s">
        <v>415</v>
      </c>
      <c r="L42">
        <v>2.8627721462977598</v>
      </c>
      <c r="M42">
        <v>0.16898575040465799</v>
      </c>
      <c r="N42">
        <v>16.940908564435102</v>
      </c>
      <c r="O42">
        <v>2.2462838693285599E-64</v>
      </c>
      <c r="P42">
        <v>17.510000000000101</v>
      </c>
      <c r="Q42">
        <v>2.95894048958557</v>
      </c>
      <c r="R42" t="s">
        <v>469</v>
      </c>
    </row>
    <row r="43" spans="1:18" x14ac:dyDescent="0.3">
      <c r="A43" t="s">
        <v>368</v>
      </c>
      <c r="B43">
        <v>2.1331813604929502</v>
      </c>
      <c r="C43" t="s">
        <v>397</v>
      </c>
      <c r="J43" t="s">
        <v>360</v>
      </c>
      <c r="K43" t="s">
        <v>415</v>
      </c>
      <c r="L43">
        <v>3.12566344314603</v>
      </c>
      <c r="M43">
        <v>0.14817209349798699</v>
      </c>
      <c r="N43">
        <v>21.094818662250301</v>
      </c>
      <c r="O43">
        <v>8.8745130005901101E-99</v>
      </c>
      <c r="P43">
        <v>22.775000000000201</v>
      </c>
      <c r="Q43">
        <v>3.3746194294166698</v>
      </c>
      <c r="R43" t="s">
        <v>475</v>
      </c>
    </row>
    <row r="44" spans="1:18" x14ac:dyDescent="0.3">
      <c r="A44" t="s">
        <v>370</v>
      </c>
      <c r="B44">
        <v>2.0234159185245799</v>
      </c>
      <c r="C44" t="s">
        <v>397</v>
      </c>
      <c r="J44" t="s">
        <v>362</v>
      </c>
      <c r="K44" t="s">
        <v>415</v>
      </c>
      <c r="L44">
        <v>3.23893985590394</v>
      </c>
      <c r="M44">
        <v>0.11432057475505</v>
      </c>
      <c r="N44">
        <v>28.332081629609402</v>
      </c>
      <c r="O44">
        <v>1.3916965790322501E-176</v>
      </c>
      <c r="P44">
        <v>25.5066666666667</v>
      </c>
      <c r="Q44">
        <v>2.9159367934188198</v>
      </c>
      <c r="R44" t="s">
        <v>464</v>
      </c>
    </row>
    <row r="45" spans="1:18" x14ac:dyDescent="0.3">
      <c r="J45" t="s">
        <v>364</v>
      </c>
      <c r="K45" t="s">
        <v>415</v>
      </c>
      <c r="L45">
        <v>3.4479749398876902</v>
      </c>
      <c r="M45">
        <v>0.10297594101879599</v>
      </c>
      <c r="N45">
        <v>33.483305962295802</v>
      </c>
      <c r="O45">
        <v>8.4343738497939697E-246</v>
      </c>
      <c r="P45">
        <v>31.436666666666799</v>
      </c>
      <c r="Q45">
        <v>3.2372203324942399</v>
      </c>
      <c r="R45" t="s">
        <v>476</v>
      </c>
    </row>
    <row r="46" spans="1:18" x14ac:dyDescent="0.3">
      <c r="J46" t="s">
        <v>366</v>
      </c>
      <c r="K46" t="s">
        <v>415</v>
      </c>
      <c r="L46">
        <v>2.3988039507345902</v>
      </c>
      <c r="M46">
        <v>0.17400063821148701</v>
      </c>
      <c r="N46">
        <v>13.786179035843499</v>
      </c>
      <c r="O46">
        <v>3.08681809196208E-43</v>
      </c>
      <c r="P46">
        <v>11.01</v>
      </c>
      <c r="Q46">
        <v>1.91574702670848</v>
      </c>
      <c r="R46" t="s">
        <v>477</v>
      </c>
    </row>
    <row r="47" spans="1:18" x14ac:dyDescent="0.3">
      <c r="A47" s="2" t="s">
        <v>339</v>
      </c>
      <c r="B47" s="2" t="s">
        <v>169</v>
      </c>
      <c r="C47" s="2" t="s">
        <v>352</v>
      </c>
      <c r="D47" s="2" t="s">
        <v>357</v>
      </c>
      <c r="J47" t="s">
        <v>368</v>
      </c>
      <c r="K47" t="s">
        <v>415</v>
      </c>
      <c r="L47">
        <v>2.12942147398486</v>
      </c>
      <c r="M47">
        <v>0.199088095374097</v>
      </c>
      <c r="N47">
        <v>10.6958754614813</v>
      </c>
      <c r="O47">
        <v>1.06409966691161E-26</v>
      </c>
      <c r="P47">
        <v>8.4100000000000392</v>
      </c>
      <c r="Q47">
        <v>1.67433088209616</v>
      </c>
      <c r="R47" t="s">
        <v>478</v>
      </c>
    </row>
    <row r="48" spans="1:18" x14ac:dyDescent="0.3">
      <c r="A48" t="s">
        <v>364</v>
      </c>
      <c r="B48" t="s">
        <v>419</v>
      </c>
      <c r="C48">
        <v>3.5908990457537402</v>
      </c>
      <c r="D48" t="s">
        <v>491</v>
      </c>
      <c r="J48" t="s">
        <v>370</v>
      </c>
      <c r="K48" t="s">
        <v>415</v>
      </c>
      <c r="L48">
        <v>1.0018566202038099</v>
      </c>
      <c r="M48">
        <v>0.34985673609506901</v>
      </c>
      <c r="N48">
        <v>2.8636196386728101</v>
      </c>
      <c r="O48">
        <v>4.1883061287528002E-3</v>
      </c>
      <c r="P48">
        <v>2.72333333333335</v>
      </c>
      <c r="Q48">
        <v>0.95277651129890795</v>
      </c>
      <c r="R48" t="s">
        <v>461</v>
      </c>
    </row>
    <row r="49" spans="1:18" x14ac:dyDescent="0.3">
      <c r="A49" t="s">
        <v>360</v>
      </c>
      <c r="B49" t="s">
        <v>419</v>
      </c>
      <c r="C49">
        <v>3.5455862842874701</v>
      </c>
      <c r="D49" t="s">
        <v>481</v>
      </c>
      <c r="J49" t="s">
        <v>358</v>
      </c>
      <c r="K49" t="s">
        <v>416</v>
      </c>
      <c r="L49">
        <v>2.7120422223717502</v>
      </c>
      <c r="M49">
        <v>0.18221307220776101</v>
      </c>
      <c r="N49">
        <v>14.883905910326</v>
      </c>
      <c r="O49">
        <v>4.1928933339113901E-50</v>
      </c>
      <c r="P49">
        <v>15.0600000000001</v>
      </c>
      <c r="Q49">
        <v>2.74412886744889</v>
      </c>
      <c r="R49" t="s">
        <v>479</v>
      </c>
    </row>
    <row r="50" spans="1:18" x14ac:dyDescent="0.3">
      <c r="A50" t="s">
        <v>364</v>
      </c>
      <c r="B50" t="s">
        <v>417</v>
      </c>
      <c r="C50">
        <v>3.4811375199730699</v>
      </c>
      <c r="D50" t="s">
        <v>481</v>
      </c>
      <c r="J50" t="s">
        <v>360</v>
      </c>
      <c r="K50" t="s">
        <v>416</v>
      </c>
      <c r="L50">
        <v>3.0844297283152802</v>
      </c>
      <c r="M50">
        <v>0.151258495349545</v>
      </c>
      <c r="N50">
        <v>20.391778466309901</v>
      </c>
      <c r="O50">
        <v>1.9782256761495E-92</v>
      </c>
      <c r="P50">
        <v>21.8550000000001</v>
      </c>
      <c r="Q50">
        <v>3.3057544158643202</v>
      </c>
      <c r="R50" t="s">
        <v>472</v>
      </c>
    </row>
    <row r="51" spans="1:18" x14ac:dyDescent="0.3">
      <c r="A51" t="s">
        <v>364</v>
      </c>
      <c r="B51" t="s">
        <v>416</v>
      </c>
      <c r="C51">
        <v>3.4692713125339698</v>
      </c>
      <c r="D51" t="s">
        <v>481</v>
      </c>
      <c r="J51" t="s">
        <v>362</v>
      </c>
      <c r="K51" t="s">
        <v>416</v>
      </c>
      <c r="L51">
        <v>3.11307076597123</v>
      </c>
      <c r="M51">
        <v>0.12174611734219699</v>
      </c>
      <c r="N51">
        <v>25.570185184807201</v>
      </c>
      <c r="O51">
        <v>3.2750272159681997E-144</v>
      </c>
      <c r="P51">
        <v>22.490000000000101</v>
      </c>
      <c r="Q51">
        <v>2.73807017902601</v>
      </c>
      <c r="R51" t="s">
        <v>480</v>
      </c>
    </row>
    <row r="52" spans="1:18" x14ac:dyDescent="0.3">
      <c r="A52" t="s">
        <v>360</v>
      </c>
      <c r="B52" t="s">
        <v>420</v>
      </c>
      <c r="C52">
        <v>3.4630761187080301</v>
      </c>
      <c r="D52" t="s">
        <v>471</v>
      </c>
      <c r="J52" t="s">
        <v>364</v>
      </c>
      <c r="K52" t="s">
        <v>416</v>
      </c>
      <c r="L52">
        <v>3.4692713125339698</v>
      </c>
      <c r="M52">
        <v>0.101885325185423</v>
      </c>
      <c r="N52">
        <v>34.0507458382273</v>
      </c>
      <c r="O52">
        <v>3.95691087134618E-254</v>
      </c>
      <c r="P52">
        <v>32.113333333333401</v>
      </c>
      <c r="Q52">
        <v>3.2718774094545502</v>
      </c>
      <c r="R52" t="s">
        <v>481</v>
      </c>
    </row>
    <row r="53" spans="1:18" x14ac:dyDescent="0.3">
      <c r="A53" t="s">
        <v>364</v>
      </c>
      <c r="B53" t="s">
        <v>423</v>
      </c>
      <c r="C53">
        <v>3.4547381485901898</v>
      </c>
      <c r="D53" t="s">
        <v>476</v>
      </c>
      <c r="J53" t="s">
        <v>366</v>
      </c>
      <c r="K53" t="s">
        <v>416</v>
      </c>
      <c r="L53">
        <v>2.3783108035221798</v>
      </c>
      <c r="M53">
        <v>0.17579267209344299</v>
      </c>
      <c r="N53">
        <v>13.529066798973201</v>
      </c>
      <c r="O53">
        <v>1.05352537125731E-41</v>
      </c>
      <c r="P53">
        <v>10.786666666666701</v>
      </c>
      <c r="Q53">
        <v>1.8962169563146101</v>
      </c>
      <c r="R53" t="s">
        <v>477</v>
      </c>
    </row>
    <row r="54" spans="1:18" x14ac:dyDescent="0.3">
      <c r="A54" t="s">
        <v>364</v>
      </c>
      <c r="B54" t="s">
        <v>421</v>
      </c>
      <c r="C54">
        <v>3.4535789725291002</v>
      </c>
      <c r="D54" t="s">
        <v>476</v>
      </c>
      <c r="J54" t="s">
        <v>368</v>
      </c>
      <c r="K54" t="s">
        <v>416</v>
      </c>
      <c r="L54">
        <v>2.0476928433652599</v>
      </c>
      <c r="M54">
        <v>0.207392062701138</v>
      </c>
      <c r="N54">
        <v>9.8735352582710902</v>
      </c>
      <c r="O54">
        <v>5.4219275855886495E-23</v>
      </c>
      <c r="P54">
        <v>7.7500000000000098</v>
      </c>
      <c r="Q54">
        <v>1.6072884859338199</v>
      </c>
      <c r="R54" t="s">
        <v>465</v>
      </c>
    </row>
    <row r="55" spans="1:18" x14ac:dyDescent="0.3">
      <c r="A55" t="s">
        <v>364</v>
      </c>
      <c r="B55" t="s">
        <v>415</v>
      </c>
      <c r="C55">
        <v>3.4479749398876902</v>
      </c>
      <c r="D55" t="s">
        <v>476</v>
      </c>
      <c r="J55" t="s">
        <v>370</v>
      </c>
      <c r="K55" t="s">
        <v>416</v>
      </c>
      <c r="L55">
        <v>1.87231486596691</v>
      </c>
      <c r="M55">
        <v>0.226398942702846</v>
      </c>
      <c r="N55">
        <v>8.2699806086301795</v>
      </c>
      <c r="O55">
        <v>1.3398080367728999E-16</v>
      </c>
      <c r="P55">
        <v>6.5033333333333596</v>
      </c>
      <c r="Q55">
        <v>1.47234779071085</v>
      </c>
      <c r="R55" t="s">
        <v>458</v>
      </c>
    </row>
    <row r="56" spans="1:18" x14ac:dyDescent="0.3">
      <c r="A56" t="s">
        <v>364</v>
      </c>
      <c r="B56" t="s">
        <v>420</v>
      </c>
      <c r="C56">
        <v>3.43667176985582</v>
      </c>
      <c r="D56" t="s">
        <v>476</v>
      </c>
      <c r="J56" t="s">
        <v>358</v>
      </c>
      <c r="K56" t="s">
        <v>417</v>
      </c>
      <c r="L56">
        <v>2.5775617929482801</v>
      </c>
      <c r="M56">
        <v>0.194886027076624</v>
      </c>
      <c r="N56">
        <v>13.225995889047701</v>
      </c>
      <c r="O56">
        <v>6.21090908004827E-40</v>
      </c>
      <c r="P56">
        <v>13.164999999999999</v>
      </c>
      <c r="Q56">
        <v>2.5656745464637698</v>
      </c>
      <c r="R56" t="s">
        <v>482</v>
      </c>
    </row>
    <row r="57" spans="1:18" x14ac:dyDescent="0.3">
      <c r="A57" t="s">
        <v>360</v>
      </c>
      <c r="B57" t="s">
        <v>418</v>
      </c>
      <c r="C57">
        <v>3.4164143474670201</v>
      </c>
      <c r="D57" t="s">
        <v>486</v>
      </c>
      <c r="J57" t="s">
        <v>360</v>
      </c>
      <c r="K57" t="s">
        <v>417</v>
      </c>
      <c r="L57">
        <v>3.2146669800941501</v>
      </c>
      <c r="M57">
        <v>0.14172306362374801</v>
      </c>
      <c r="N57">
        <v>22.682737007637499</v>
      </c>
      <c r="O57">
        <v>6.6332293285932498E-114</v>
      </c>
      <c r="P57">
        <v>24.895000000000099</v>
      </c>
      <c r="Q57">
        <v>3.5281956689132201</v>
      </c>
      <c r="R57" t="s">
        <v>483</v>
      </c>
    </row>
    <row r="58" spans="1:18" x14ac:dyDescent="0.3">
      <c r="A58" t="s">
        <v>362</v>
      </c>
      <c r="B58" t="s">
        <v>419</v>
      </c>
      <c r="C58">
        <v>3.4089450684529901</v>
      </c>
      <c r="D58" t="s">
        <v>471</v>
      </c>
      <c r="J58" t="s">
        <v>362</v>
      </c>
      <c r="K58" t="s">
        <v>417</v>
      </c>
      <c r="L58">
        <v>3.3316090948554402</v>
      </c>
      <c r="M58">
        <v>0.109144707962834</v>
      </c>
      <c r="N58">
        <v>30.5246965889534</v>
      </c>
      <c r="O58">
        <v>1.2255751420406199E-204</v>
      </c>
      <c r="P58">
        <v>27.983333333333398</v>
      </c>
      <c r="Q58">
        <v>3.0542327444933202</v>
      </c>
      <c r="R58" t="s">
        <v>484</v>
      </c>
    </row>
    <row r="59" spans="1:18" x14ac:dyDescent="0.3">
      <c r="A59" t="s">
        <v>364</v>
      </c>
      <c r="B59" t="s">
        <v>414</v>
      </c>
      <c r="C59">
        <v>3.4020858757232699</v>
      </c>
      <c r="D59" t="s">
        <v>471</v>
      </c>
      <c r="J59" t="s">
        <v>364</v>
      </c>
      <c r="K59" t="s">
        <v>417</v>
      </c>
      <c r="L59">
        <v>3.4811375199730699</v>
      </c>
      <c r="M59">
        <v>0.101282660347598</v>
      </c>
      <c r="N59">
        <v>34.370518191622899</v>
      </c>
      <c r="O59">
        <v>6.9548792744538205E-259</v>
      </c>
      <c r="P59">
        <v>32.496666666666798</v>
      </c>
      <c r="Q59">
        <v>3.2913488524291101</v>
      </c>
      <c r="R59" t="s">
        <v>481</v>
      </c>
    </row>
    <row r="60" spans="1:18" x14ac:dyDescent="0.3">
      <c r="A60" t="s">
        <v>360</v>
      </c>
      <c r="B60" t="s">
        <v>421</v>
      </c>
      <c r="C60">
        <v>3.4005304926744602</v>
      </c>
      <c r="D60" t="s">
        <v>486</v>
      </c>
      <c r="J60" t="s">
        <v>366</v>
      </c>
      <c r="K60" t="s">
        <v>417</v>
      </c>
      <c r="L60">
        <v>2.5418644262176602</v>
      </c>
      <c r="M60">
        <v>0.16198934239120599</v>
      </c>
      <c r="N60">
        <v>15.6915534608383</v>
      </c>
      <c r="O60">
        <v>1.7277505249439401E-55</v>
      </c>
      <c r="P60">
        <v>12.703333333333401</v>
      </c>
      <c r="Q60">
        <v>2.0578046128429701</v>
      </c>
      <c r="R60" t="s">
        <v>466</v>
      </c>
    </row>
    <row r="61" spans="1:18" x14ac:dyDescent="0.3">
      <c r="A61" t="s">
        <v>364</v>
      </c>
      <c r="B61" t="s">
        <v>422</v>
      </c>
      <c r="C61">
        <v>3.3758795736778699</v>
      </c>
      <c r="D61" t="s">
        <v>486</v>
      </c>
      <c r="J61" t="s">
        <v>368</v>
      </c>
      <c r="K61" t="s">
        <v>417</v>
      </c>
      <c r="L61">
        <v>2.1625564483903501</v>
      </c>
      <c r="M61">
        <v>0.19581693814751899</v>
      </c>
      <c r="N61">
        <v>11.0437660237603</v>
      </c>
      <c r="O61">
        <v>2.3497376793187001E-28</v>
      </c>
      <c r="P61">
        <v>8.6933333333333707</v>
      </c>
      <c r="Q61">
        <v>1.7023019156291099</v>
      </c>
      <c r="R61" t="s">
        <v>485</v>
      </c>
    </row>
    <row r="62" spans="1:18" x14ac:dyDescent="0.3">
      <c r="A62" t="s">
        <v>362</v>
      </c>
      <c r="B62" t="s">
        <v>423</v>
      </c>
      <c r="C62">
        <v>3.3493191208934898</v>
      </c>
      <c r="D62" t="s">
        <v>486</v>
      </c>
      <c r="J62" t="s">
        <v>370</v>
      </c>
      <c r="K62" t="s">
        <v>417</v>
      </c>
      <c r="L62">
        <v>0.79148308128081102</v>
      </c>
      <c r="M62">
        <v>0.38866195697025602</v>
      </c>
      <c r="N62">
        <v>2.0364305460989098</v>
      </c>
      <c r="O62">
        <v>4.1707140741512501E-2</v>
      </c>
      <c r="P62">
        <v>2.2066666666666701</v>
      </c>
      <c r="Q62">
        <v>0.85764738504770199</v>
      </c>
      <c r="R62" t="s">
        <v>461</v>
      </c>
    </row>
    <row r="63" spans="1:18" x14ac:dyDescent="0.3">
      <c r="A63" t="s">
        <v>362</v>
      </c>
      <c r="B63" t="s">
        <v>417</v>
      </c>
      <c r="C63">
        <v>3.3316090948554402</v>
      </c>
      <c r="D63" t="s">
        <v>484</v>
      </c>
      <c r="J63" t="s">
        <v>358</v>
      </c>
      <c r="K63" t="s">
        <v>418</v>
      </c>
      <c r="L63">
        <v>2.93438864331294</v>
      </c>
      <c r="M63">
        <v>0.16304195166847399</v>
      </c>
      <c r="N63">
        <v>17.997752193739998</v>
      </c>
      <c r="O63">
        <v>2.02887760933536E-72</v>
      </c>
      <c r="P63">
        <v>18.809999999999999</v>
      </c>
      <c r="Q63">
        <v>3.0668191108840102</v>
      </c>
      <c r="R63" t="s">
        <v>469</v>
      </c>
    </row>
    <row r="64" spans="1:18" x14ac:dyDescent="0.3">
      <c r="A64" t="s">
        <v>366</v>
      </c>
      <c r="B64" t="s">
        <v>419</v>
      </c>
      <c r="C64">
        <v>3.3280291387647298</v>
      </c>
      <c r="D64" t="s">
        <v>484</v>
      </c>
      <c r="J64" t="s">
        <v>360</v>
      </c>
      <c r="K64" t="s">
        <v>418</v>
      </c>
      <c r="L64">
        <v>3.4164143474670201</v>
      </c>
      <c r="M64">
        <v>0.128125106548031</v>
      </c>
      <c r="N64">
        <v>26.664675171889701</v>
      </c>
      <c r="O64">
        <v>1.2096014586723699E-156</v>
      </c>
      <c r="P64">
        <v>30.4600000000002</v>
      </c>
      <c r="Q64">
        <v>3.9026907454530599</v>
      </c>
      <c r="R64" t="s">
        <v>486</v>
      </c>
    </row>
    <row r="65" spans="1:18" x14ac:dyDescent="0.3">
      <c r="A65" t="s">
        <v>360</v>
      </c>
      <c r="B65" t="s">
        <v>422</v>
      </c>
      <c r="C65">
        <v>3.32233453323644</v>
      </c>
      <c r="D65" t="s">
        <v>470</v>
      </c>
      <c r="J65" t="s">
        <v>362</v>
      </c>
      <c r="K65" t="s">
        <v>418</v>
      </c>
      <c r="L65">
        <v>2.9161477942111498</v>
      </c>
      <c r="M65">
        <v>0.13434284077328501</v>
      </c>
      <c r="N65">
        <v>21.7067599391649</v>
      </c>
      <c r="O65">
        <v>1.7711160581152999E-104</v>
      </c>
      <c r="P65">
        <v>18.470000000000098</v>
      </c>
      <c r="Q65">
        <v>2.4813122690825899</v>
      </c>
      <c r="R65" t="s">
        <v>487</v>
      </c>
    </row>
    <row r="66" spans="1:18" x14ac:dyDescent="0.3">
      <c r="A66" t="s">
        <v>360</v>
      </c>
      <c r="B66" t="s">
        <v>414</v>
      </c>
      <c r="C66">
        <v>3.3098128198603098</v>
      </c>
      <c r="D66" t="s">
        <v>470</v>
      </c>
      <c r="J66" t="s">
        <v>364</v>
      </c>
      <c r="K66" t="s">
        <v>418</v>
      </c>
      <c r="L66">
        <v>3.2963305712723199</v>
      </c>
      <c r="M66">
        <v>0.111086904598119</v>
      </c>
      <c r="N66">
        <v>29.673439755995499</v>
      </c>
      <c r="O66">
        <v>1.69085321512159E-193</v>
      </c>
      <c r="P66">
        <v>27.013333333333399</v>
      </c>
      <c r="Q66">
        <v>3.0008275828772102</v>
      </c>
      <c r="R66" t="s">
        <v>488</v>
      </c>
    </row>
    <row r="67" spans="1:18" x14ac:dyDescent="0.3">
      <c r="A67" t="s">
        <v>364</v>
      </c>
      <c r="B67" t="s">
        <v>418</v>
      </c>
      <c r="C67">
        <v>3.2963305712723199</v>
      </c>
      <c r="D67" t="s">
        <v>488</v>
      </c>
      <c r="J67" t="s">
        <v>366</v>
      </c>
      <c r="K67" t="s">
        <v>418</v>
      </c>
      <c r="L67">
        <v>2.8848007128467099</v>
      </c>
      <c r="M67">
        <v>0.136464973207403</v>
      </c>
      <c r="N67">
        <v>21.139495689214801</v>
      </c>
      <c r="O67">
        <v>3.4474173934701201E-99</v>
      </c>
      <c r="P67">
        <v>17.899999999999999</v>
      </c>
      <c r="Q67">
        <v>2.4427230204125201</v>
      </c>
      <c r="R67" t="s">
        <v>469</v>
      </c>
    </row>
    <row r="68" spans="1:18" x14ac:dyDescent="0.3">
      <c r="A68" t="s">
        <v>360</v>
      </c>
      <c r="B68" t="s">
        <v>413</v>
      </c>
      <c r="C68">
        <v>3.2765785349965002</v>
      </c>
      <c r="D68" t="s">
        <v>464</v>
      </c>
      <c r="J68" t="s">
        <v>368</v>
      </c>
      <c r="K68" t="s">
        <v>418</v>
      </c>
      <c r="L68">
        <v>2.3197699177481499</v>
      </c>
      <c r="M68">
        <v>0.18101412851249399</v>
      </c>
      <c r="N68">
        <v>12.815408039202</v>
      </c>
      <c r="O68">
        <v>1.34429330416551E-37</v>
      </c>
      <c r="P68">
        <v>10.1733333333334</v>
      </c>
      <c r="Q68">
        <v>1.84151706740044</v>
      </c>
      <c r="R68" t="s">
        <v>489</v>
      </c>
    </row>
    <row r="69" spans="1:18" x14ac:dyDescent="0.3">
      <c r="A69" t="s">
        <v>362</v>
      </c>
      <c r="B69" t="s">
        <v>414</v>
      </c>
      <c r="C69">
        <v>3.2718477096343102</v>
      </c>
      <c r="D69" t="s">
        <v>470</v>
      </c>
      <c r="J69" t="s">
        <v>370</v>
      </c>
      <c r="K69" t="s">
        <v>418</v>
      </c>
      <c r="L69">
        <v>2.4709204078132601</v>
      </c>
      <c r="M69">
        <v>0.16783840164803701</v>
      </c>
      <c r="N69">
        <v>14.722020607625099</v>
      </c>
      <c r="O69">
        <v>4.6553943546748997E-49</v>
      </c>
      <c r="P69">
        <v>11.8333333333334</v>
      </c>
      <c r="Q69">
        <v>1.98608775283511</v>
      </c>
      <c r="R69" t="s">
        <v>490</v>
      </c>
    </row>
    <row r="70" spans="1:18" x14ac:dyDescent="0.3">
      <c r="A70" t="s">
        <v>362</v>
      </c>
      <c r="B70" t="s">
        <v>415</v>
      </c>
      <c r="C70">
        <v>3.23893985590394</v>
      </c>
      <c r="D70" t="s">
        <v>464</v>
      </c>
      <c r="J70" t="s">
        <v>358</v>
      </c>
      <c r="K70" t="s">
        <v>419</v>
      </c>
      <c r="L70">
        <v>3.19314767629547</v>
      </c>
      <c r="M70">
        <v>0.14325610617965301</v>
      </c>
      <c r="N70">
        <v>22.2897840898388</v>
      </c>
      <c r="O70">
        <v>4.6422553542110701E-110</v>
      </c>
      <c r="P70">
        <v>24.365000000000101</v>
      </c>
      <c r="Q70">
        <v>3.49043502706725</v>
      </c>
      <c r="R70" t="s">
        <v>457</v>
      </c>
    </row>
    <row r="71" spans="1:18" x14ac:dyDescent="0.3">
      <c r="A71" t="s">
        <v>360</v>
      </c>
      <c r="B71" t="s">
        <v>417</v>
      </c>
      <c r="C71">
        <v>3.2146669800941501</v>
      </c>
      <c r="D71" t="s">
        <v>483</v>
      </c>
      <c r="J71" t="s">
        <v>360</v>
      </c>
      <c r="K71" t="s">
        <v>419</v>
      </c>
      <c r="L71">
        <v>3.5455862842874701</v>
      </c>
      <c r="M71">
        <v>0.120112129279717</v>
      </c>
      <c r="N71">
        <v>29.518969529134701</v>
      </c>
      <c r="O71">
        <v>1.6437873548010799E-191</v>
      </c>
      <c r="P71">
        <v>34.660000000000302</v>
      </c>
      <c r="Q71">
        <v>4.1630864008350397</v>
      </c>
      <c r="R71" t="s">
        <v>481</v>
      </c>
    </row>
    <row r="72" spans="1:18" x14ac:dyDescent="0.3">
      <c r="A72" t="s">
        <v>360</v>
      </c>
      <c r="B72" t="s">
        <v>412</v>
      </c>
      <c r="C72">
        <v>3.2104403460471</v>
      </c>
      <c r="D72" t="s">
        <v>457</v>
      </c>
      <c r="J72" t="s">
        <v>362</v>
      </c>
      <c r="K72" t="s">
        <v>419</v>
      </c>
      <c r="L72">
        <v>3.4089450684529901</v>
      </c>
      <c r="M72">
        <v>0.105005110863264</v>
      </c>
      <c r="N72">
        <v>32.464563300085999</v>
      </c>
      <c r="O72">
        <v>3.3747940103571403E-231</v>
      </c>
      <c r="P72">
        <v>30.233333333333501</v>
      </c>
      <c r="Q72">
        <v>3.17465451843269</v>
      </c>
      <c r="R72" t="s">
        <v>471</v>
      </c>
    </row>
    <row r="73" spans="1:18" x14ac:dyDescent="0.3">
      <c r="A73" t="s">
        <v>358</v>
      </c>
      <c r="B73" t="s">
        <v>419</v>
      </c>
      <c r="C73">
        <v>3.19314767629547</v>
      </c>
      <c r="D73" t="s">
        <v>457</v>
      </c>
      <c r="J73" t="s">
        <v>364</v>
      </c>
      <c r="K73" t="s">
        <v>419</v>
      </c>
      <c r="L73">
        <v>3.5908990457537402</v>
      </c>
      <c r="M73">
        <v>9.5874352429881002E-2</v>
      </c>
      <c r="N73">
        <v>37.454219556580497</v>
      </c>
      <c r="O73">
        <v>5.1280216436482897E-307</v>
      </c>
      <c r="P73">
        <v>36.266666666666801</v>
      </c>
      <c r="Q73">
        <v>3.47704318145703</v>
      </c>
      <c r="R73" t="s">
        <v>491</v>
      </c>
    </row>
    <row r="74" spans="1:18" x14ac:dyDescent="0.3">
      <c r="A74" t="s">
        <v>358</v>
      </c>
      <c r="B74" t="s">
        <v>420</v>
      </c>
      <c r="C74">
        <v>3.1923264896346701</v>
      </c>
      <c r="D74" t="s">
        <v>457</v>
      </c>
      <c r="J74" t="s">
        <v>366</v>
      </c>
      <c r="K74" t="s">
        <v>419</v>
      </c>
      <c r="L74">
        <v>3.3280291387647298</v>
      </c>
      <c r="M74">
        <v>0.10934023782345401</v>
      </c>
      <c r="N74">
        <v>30.437368758410098</v>
      </c>
      <c r="O74">
        <v>1.7603743009966299E-203</v>
      </c>
      <c r="P74">
        <v>27.8833333333334</v>
      </c>
      <c r="Q74">
        <v>3.0487702979773101</v>
      </c>
      <c r="R74" t="s">
        <v>484</v>
      </c>
    </row>
    <row r="75" spans="1:18" x14ac:dyDescent="0.3">
      <c r="A75" t="s">
        <v>360</v>
      </c>
      <c r="B75" t="s">
        <v>415</v>
      </c>
      <c r="C75">
        <v>3.12566344314603</v>
      </c>
      <c r="D75" t="s">
        <v>475</v>
      </c>
      <c r="J75" t="s">
        <v>368</v>
      </c>
      <c r="K75" t="s">
        <v>419</v>
      </c>
      <c r="L75">
        <v>3.1173597616756901</v>
      </c>
      <c r="M75">
        <v>0.12148532539646401</v>
      </c>
      <c r="N75">
        <v>25.660381214786899</v>
      </c>
      <c r="O75">
        <v>3.23815553725544E-145</v>
      </c>
      <c r="P75">
        <v>22.586666666666702</v>
      </c>
      <c r="Q75">
        <v>2.74394854962146</v>
      </c>
      <c r="R75" t="s">
        <v>480</v>
      </c>
    </row>
    <row r="76" spans="1:18" x14ac:dyDescent="0.3">
      <c r="A76" t="s">
        <v>370</v>
      </c>
      <c r="B76" t="s">
        <v>419</v>
      </c>
      <c r="C76">
        <v>3.11912915169792</v>
      </c>
      <c r="D76" t="s">
        <v>480</v>
      </c>
      <c r="J76" t="s">
        <v>370</v>
      </c>
      <c r="K76" t="s">
        <v>419</v>
      </c>
      <c r="L76">
        <v>3.11912915169792</v>
      </c>
      <c r="M76">
        <v>0.121377900670269</v>
      </c>
      <c r="N76">
        <v>25.697669299547599</v>
      </c>
      <c r="O76">
        <v>1.24114520556055E-145</v>
      </c>
      <c r="P76">
        <v>22.626666666666701</v>
      </c>
      <c r="Q76">
        <v>2.7463772991659701</v>
      </c>
      <c r="R76" t="s">
        <v>480</v>
      </c>
    </row>
    <row r="77" spans="1:18" x14ac:dyDescent="0.3">
      <c r="A77" t="s">
        <v>368</v>
      </c>
      <c r="B77" t="s">
        <v>419</v>
      </c>
      <c r="C77">
        <v>3.1173597616756901</v>
      </c>
      <c r="D77" t="s">
        <v>480</v>
      </c>
      <c r="J77" t="s">
        <v>358</v>
      </c>
      <c r="K77" t="s">
        <v>420</v>
      </c>
      <c r="L77">
        <v>3.1923264896346701</v>
      </c>
      <c r="M77">
        <v>0.14331493518471999</v>
      </c>
      <c r="N77">
        <v>22.274904464911799</v>
      </c>
      <c r="O77">
        <v>6.4715675211184504E-110</v>
      </c>
      <c r="P77">
        <v>24.345000000000098</v>
      </c>
      <c r="Q77">
        <v>3.4890020970720199</v>
      </c>
      <c r="R77" t="s">
        <v>457</v>
      </c>
    </row>
    <row r="78" spans="1:18" x14ac:dyDescent="0.3">
      <c r="A78" t="s">
        <v>362</v>
      </c>
      <c r="B78" t="s">
        <v>416</v>
      </c>
      <c r="C78">
        <v>3.11307076597123</v>
      </c>
      <c r="D78" t="s">
        <v>480</v>
      </c>
      <c r="J78" t="s">
        <v>360</v>
      </c>
      <c r="K78" t="s">
        <v>420</v>
      </c>
      <c r="L78">
        <v>3.4630761187080301</v>
      </c>
      <c r="M78">
        <v>0.12517063121798899</v>
      </c>
      <c r="N78">
        <v>27.666842333621901</v>
      </c>
      <c r="O78">
        <v>1.7504713082721199E-168</v>
      </c>
      <c r="P78">
        <v>31.915000000000202</v>
      </c>
      <c r="Q78">
        <v>3.9948206953221299</v>
      </c>
      <c r="R78" t="s">
        <v>471</v>
      </c>
    </row>
    <row r="79" spans="1:18" x14ac:dyDescent="0.3">
      <c r="A79" t="s">
        <v>360</v>
      </c>
      <c r="B79" t="s">
        <v>416</v>
      </c>
      <c r="C79">
        <v>3.0844297283152802</v>
      </c>
      <c r="D79" t="s">
        <v>472</v>
      </c>
      <c r="J79" t="s">
        <v>362</v>
      </c>
      <c r="K79" t="s">
        <v>420</v>
      </c>
      <c r="L79">
        <v>2.79239134953596</v>
      </c>
      <c r="M79">
        <v>0.142917989016667</v>
      </c>
      <c r="N79">
        <v>19.538417583040001</v>
      </c>
      <c r="O79">
        <v>5.1762222113604996E-85</v>
      </c>
      <c r="P79">
        <v>16.3200000000001</v>
      </c>
      <c r="Q79">
        <v>2.3324215807520101</v>
      </c>
      <c r="R79" t="s">
        <v>473</v>
      </c>
    </row>
    <row r="80" spans="1:18" x14ac:dyDescent="0.3">
      <c r="A80" t="s">
        <v>366</v>
      </c>
      <c r="B80" t="s">
        <v>420</v>
      </c>
      <c r="C80">
        <v>3.0472172162425002</v>
      </c>
      <c r="D80" t="s">
        <v>472</v>
      </c>
      <c r="J80" t="s">
        <v>364</v>
      </c>
      <c r="K80" t="s">
        <v>420</v>
      </c>
      <c r="L80">
        <v>3.43667176985582</v>
      </c>
      <c r="M80">
        <v>0.103559526713254</v>
      </c>
      <c r="N80">
        <v>33.185471959249398</v>
      </c>
      <c r="O80">
        <v>1.74442206419794E-241</v>
      </c>
      <c r="P80">
        <v>31.083333333333499</v>
      </c>
      <c r="Q80">
        <v>3.21897528867032</v>
      </c>
      <c r="R80" t="s">
        <v>476</v>
      </c>
    </row>
    <row r="81" spans="1:18" x14ac:dyDescent="0.3">
      <c r="A81" t="s">
        <v>366</v>
      </c>
      <c r="B81" t="s">
        <v>414</v>
      </c>
      <c r="C81">
        <v>3.0461084808790599</v>
      </c>
      <c r="D81" t="s">
        <v>472</v>
      </c>
      <c r="J81" t="s">
        <v>366</v>
      </c>
      <c r="K81" t="s">
        <v>420</v>
      </c>
      <c r="L81">
        <v>3.0472172162425002</v>
      </c>
      <c r="M81">
        <v>0.12582135818658</v>
      </c>
      <c r="N81">
        <v>24.218600563219201</v>
      </c>
      <c r="O81">
        <v>1.41702607431787E-129</v>
      </c>
      <c r="P81">
        <v>21.0566666666667</v>
      </c>
      <c r="Q81">
        <v>2.64937839888209</v>
      </c>
      <c r="R81" t="s">
        <v>472</v>
      </c>
    </row>
    <row r="82" spans="1:18" x14ac:dyDescent="0.3">
      <c r="A82" t="s">
        <v>362</v>
      </c>
      <c r="B82" t="s">
        <v>422</v>
      </c>
      <c r="C82">
        <v>3.0055175742887901</v>
      </c>
      <c r="D82" t="s">
        <v>472</v>
      </c>
      <c r="J82" t="s">
        <v>368</v>
      </c>
      <c r="K82" t="s">
        <v>420</v>
      </c>
      <c r="L82">
        <v>2.6667651364185598</v>
      </c>
      <c r="M82">
        <v>0.15218273499452001</v>
      </c>
      <c r="N82">
        <v>17.523440727455601</v>
      </c>
      <c r="O82">
        <v>9.4907976966113004E-69</v>
      </c>
      <c r="P82">
        <v>14.3933333333334</v>
      </c>
      <c r="Q82">
        <v>2.1904168323544599</v>
      </c>
      <c r="R82" t="s">
        <v>492</v>
      </c>
    </row>
    <row r="83" spans="1:18" x14ac:dyDescent="0.3">
      <c r="A83" t="s">
        <v>360</v>
      </c>
      <c r="B83" t="s">
        <v>423</v>
      </c>
      <c r="C83">
        <v>2.9859344310738898</v>
      </c>
      <c r="D83" t="s">
        <v>487</v>
      </c>
      <c r="J83" t="s">
        <v>370</v>
      </c>
      <c r="K83" t="s">
        <v>420</v>
      </c>
      <c r="L83">
        <v>2.7866559794512198</v>
      </c>
      <c r="M83">
        <v>0.143328406663292</v>
      </c>
      <c r="N83">
        <v>19.442454181449499</v>
      </c>
      <c r="O83">
        <v>3.37622073193624E-84</v>
      </c>
      <c r="P83">
        <v>16.226666666666699</v>
      </c>
      <c r="Q83">
        <v>2.32574227878969</v>
      </c>
      <c r="R83" t="s">
        <v>473</v>
      </c>
    </row>
    <row r="84" spans="1:18" x14ac:dyDescent="0.3">
      <c r="A84" t="s">
        <v>358</v>
      </c>
      <c r="B84" t="s">
        <v>418</v>
      </c>
      <c r="C84">
        <v>2.93438864331294</v>
      </c>
      <c r="D84" t="s">
        <v>469</v>
      </c>
      <c r="J84" t="s">
        <v>358</v>
      </c>
      <c r="K84" t="s">
        <v>421</v>
      </c>
      <c r="L84">
        <v>2.9038910698884099</v>
      </c>
      <c r="M84">
        <v>0.16554709572987999</v>
      </c>
      <c r="N84">
        <v>17.541177977695501</v>
      </c>
      <c r="O84">
        <v>6.9472263667632595E-69</v>
      </c>
      <c r="P84">
        <v>18.245000000000001</v>
      </c>
      <c r="Q84">
        <v>3.0204067615916501</v>
      </c>
      <c r="R84" t="s">
        <v>469</v>
      </c>
    </row>
    <row r="85" spans="1:18" x14ac:dyDescent="0.3">
      <c r="A85" t="s">
        <v>362</v>
      </c>
      <c r="B85" t="s">
        <v>421</v>
      </c>
      <c r="C85">
        <v>2.9226238017333599</v>
      </c>
      <c r="D85" t="s">
        <v>487</v>
      </c>
      <c r="J85" t="s">
        <v>360</v>
      </c>
      <c r="K85" t="s">
        <v>421</v>
      </c>
      <c r="L85">
        <v>3.4005304926744602</v>
      </c>
      <c r="M85">
        <v>0.129146651776258</v>
      </c>
      <c r="N85">
        <v>26.330767742750002</v>
      </c>
      <c r="O85">
        <v>8.5240159829713801E-153</v>
      </c>
      <c r="P85">
        <v>29.980000000000199</v>
      </c>
      <c r="Q85">
        <v>3.8718166202522299</v>
      </c>
      <c r="R85" t="s">
        <v>486</v>
      </c>
    </row>
    <row r="86" spans="1:18" x14ac:dyDescent="0.3">
      <c r="A86" t="s">
        <v>362</v>
      </c>
      <c r="B86" t="s">
        <v>418</v>
      </c>
      <c r="C86">
        <v>2.9161477942111498</v>
      </c>
      <c r="D86" t="s">
        <v>487</v>
      </c>
      <c r="J86" t="s">
        <v>362</v>
      </c>
      <c r="K86" t="s">
        <v>421</v>
      </c>
      <c r="L86">
        <v>2.9226238017333599</v>
      </c>
      <c r="M86">
        <v>0.13390855889306399</v>
      </c>
      <c r="N86">
        <v>21.8255190399538</v>
      </c>
      <c r="O86">
        <v>1.3282130527370999E-105</v>
      </c>
      <c r="P86">
        <v>18.590000000000099</v>
      </c>
      <c r="Q86">
        <v>2.4893601098220799</v>
      </c>
      <c r="R86" t="s">
        <v>487</v>
      </c>
    </row>
    <row r="87" spans="1:18" x14ac:dyDescent="0.3">
      <c r="A87" t="s">
        <v>358</v>
      </c>
      <c r="B87" t="s">
        <v>421</v>
      </c>
      <c r="C87">
        <v>2.9038910698884099</v>
      </c>
      <c r="D87" t="s">
        <v>469</v>
      </c>
      <c r="J87" t="s">
        <v>364</v>
      </c>
      <c r="K87" t="s">
        <v>421</v>
      </c>
      <c r="L87">
        <v>3.4535789725291002</v>
      </c>
      <c r="M87">
        <v>0.102687824076389</v>
      </c>
      <c r="N87">
        <v>33.63182542421</v>
      </c>
      <c r="O87">
        <v>5.7495182799896602E-248</v>
      </c>
      <c r="P87">
        <v>31.613333333333401</v>
      </c>
      <c r="Q87">
        <v>3.2463044118015798</v>
      </c>
      <c r="R87" t="s">
        <v>476</v>
      </c>
    </row>
    <row r="88" spans="1:18" x14ac:dyDescent="0.3">
      <c r="A88" t="s">
        <v>366</v>
      </c>
      <c r="B88" t="s">
        <v>423</v>
      </c>
      <c r="C88">
        <v>2.8959119382717802</v>
      </c>
      <c r="D88" t="s">
        <v>469</v>
      </c>
      <c r="J88" t="s">
        <v>366</v>
      </c>
      <c r="K88" t="s">
        <v>421</v>
      </c>
      <c r="L88">
        <v>2.4472624710288202</v>
      </c>
      <c r="M88">
        <v>0.16983549519299199</v>
      </c>
      <c r="N88">
        <v>14.4096054140383</v>
      </c>
      <c r="O88">
        <v>4.5027550749893202E-47</v>
      </c>
      <c r="P88">
        <v>11.5566666666667</v>
      </c>
      <c r="Q88">
        <v>1.96273220611368</v>
      </c>
      <c r="R88" t="s">
        <v>493</v>
      </c>
    </row>
    <row r="89" spans="1:18" x14ac:dyDescent="0.3">
      <c r="A89" t="s">
        <v>366</v>
      </c>
      <c r="B89" t="s">
        <v>418</v>
      </c>
      <c r="C89">
        <v>2.8848007128467099</v>
      </c>
      <c r="D89" t="s">
        <v>469</v>
      </c>
      <c r="J89" t="s">
        <v>368</v>
      </c>
      <c r="K89" t="s">
        <v>421</v>
      </c>
      <c r="L89">
        <v>1.67335123817776</v>
      </c>
      <c r="M89">
        <v>0.25007959115567902</v>
      </c>
      <c r="N89">
        <v>6.6912746875696296</v>
      </c>
      <c r="O89">
        <v>2.2123493457947599E-11</v>
      </c>
      <c r="P89">
        <v>5.3300000000000196</v>
      </c>
      <c r="Q89">
        <v>1.33292422085977</v>
      </c>
      <c r="R89" t="s">
        <v>494</v>
      </c>
    </row>
    <row r="90" spans="1:18" x14ac:dyDescent="0.3">
      <c r="A90" t="s">
        <v>358</v>
      </c>
      <c r="B90" t="s">
        <v>422</v>
      </c>
      <c r="C90">
        <v>2.86761477077355</v>
      </c>
      <c r="D90" t="s">
        <v>469</v>
      </c>
      <c r="J90" t="s">
        <v>370</v>
      </c>
      <c r="K90" t="s">
        <v>421</v>
      </c>
      <c r="L90">
        <v>2.0794415416798402</v>
      </c>
      <c r="M90">
        <v>0.20412589656858199</v>
      </c>
      <c r="N90">
        <v>10.1870540516215</v>
      </c>
      <c r="O90">
        <v>2.2652468087751198E-24</v>
      </c>
      <c r="P90">
        <v>8.0000000000000409</v>
      </c>
      <c r="Q90">
        <v>1.6330071725486699</v>
      </c>
      <c r="R90" t="s">
        <v>465</v>
      </c>
    </row>
    <row r="91" spans="1:18" x14ac:dyDescent="0.3">
      <c r="A91" t="s">
        <v>358</v>
      </c>
      <c r="B91" t="s">
        <v>415</v>
      </c>
      <c r="C91">
        <v>2.8627721462977598</v>
      </c>
      <c r="D91" t="s">
        <v>469</v>
      </c>
      <c r="J91" t="s">
        <v>358</v>
      </c>
      <c r="K91" t="s">
        <v>422</v>
      </c>
      <c r="L91">
        <v>2.86761477077355</v>
      </c>
      <c r="M91">
        <v>0.16857709346743199</v>
      </c>
      <c r="N91">
        <v>17.010702413893199</v>
      </c>
      <c r="O91">
        <v>6.8412618168770001E-65</v>
      </c>
      <c r="P91">
        <v>17.594999999999999</v>
      </c>
      <c r="Q91">
        <v>2.9661139595594701</v>
      </c>
      <c r="R91" t="s">
        <v>469</v>
      </c>
    </row>
    <row r="92" spans="1:18" x14ac:dyDescent="0.3">
      <c r="A92" t="s">
        <v>368</v>
      </c>
      <c r="B92" t="s">
        <v>414</v>
      </c>
      <c r="C92">
        <v>2.8336054240455599</v>
      </c>
      <c r="D92" t="s">
        <v>473</v>
      </c>
      <c r="J92" t="s">
        <v>360</v>
      </c>
      <c r="K92" t="s">
        <v>422</v>
      </c>
      <c r="L92">
        <v>3.32233453323644</v>
      </c>
      <c r="M92">
        <v>0.134295709457109</v>
      </c>
      <c r="N92">
        <v>24.738947704785101</v>
      </c>
      <c r="O92">
        <v>4.0772521766851302E-135</v>
      </c>
      <c r="P92">
        <v>27.7250000000002</v>
      </c>
      <c r="Q92">
        <v>3.7233485446983701</v>
      </c>
      <c r="R92" t="s">
        <v>470</v>
      </c>
    </row>
    <row r="93" spans="1:18" x14ac:dyDescent="0.3">
      <c r="A93" t="s">
        <v>358</v>
      </c>
      <c r="B93" t="s">
        <v>414</v>
      </c>
      <c r="C93">
        <v>2.8237570088141801</v>
      </c>
      <c r="D93" t="s">
        <v>469</v>
      </c>
      <c r="J93" t="s">
        <v>362</v>
      </c>
      <c r="K93" t="s">
        <v>422</v>
      </c>
      <c r="L93">
        <v>3.0055175742887901</v>
      </c>
      <c r="M93">
        <v>0.12847213177292699</v>
      </c>
      <c r="N93">
        <v>23.3943154271076</v>
      </c>
      <c r="O93">
        <v>4.8826875041944598E-121</v>
      </c>
      <c r="P93">
        <v>20.196666666666701</v>
      </c>
      <c r="Q93">
        <v>2.5947088213738998</v>
      </c>
      <c r="R93" t="s">
        <v>472</v>
      </c>
    </row>
    <row r="94" spans="1:18" x14ac:dyDescent="0.3">
      <c r="A94" t="s">
        <v>358</v>
      </c>
      <c r="B94" t="s">
        <v>413</v>
      </c>
      <c r="C94">
        <v>2.80245087652369</v>
      </c>
      <c r="D94" t="s">
        <v>463</v>
      </c>
      <c r="J94" t="s">
        <v>364</v>
      </c>
      <c r="K94" t="s">
        <v>422</v>
      </c>
      <c r="L94">
        <v>3.3758795736778699</v>
      </c>
      <c r="M94">
        <v>0.10675545128597499</v>
      </c>
      <c r="N94">
        <v>31.622549790311002</v>
      </c>
      <c r="O94">
        <v>1.8087724289266701E-219</v>
      </c>
      <c r="P94">
        <v>29.250000000000099</v>
      </c>
      <c r="Q94">
        <v>3.1225969501147799</v>
      </c>
      <c r="R94" t="s">
        <v>486</v>
      </c>
    </row>
    <row r="95" spans="1:18" x14ac:dyDescent="0.3">
      <c r="A95" t="s">
        <v>362</v>
      </c>
      <c r="B95" t="s">
        <v>420</v>
      </c>
      <c r="C95">
        <v>2.79239134953596</v>
      </c>
      <c r="D95" t="s">
        <v>473</v>
      </c>
      <c r="J95" t="s">
        <v>366</v>
      </c>
      <c r="K95" t="s">
        <v>422</v>
      </c>
      <c r="L95">
        <v>2.7905514226139601</v>
      </c>
      <c r="M95">
        <v>0.14304952423877099</v>
      </c>
      <c r="N95">
        <v>19.5075896789151</v>
      </c>
      <c r="O95">
        <v>9.4640427907890198E-85</v>
      </c>
      <c r="P95">
        <v>16.29</v>
      </c>
      <c r="Q95">
        <v>2.3302767498495802</v>
      </c>
      <c r="R95" t="s">
        <v>473</v>
      </c>
    </row>
    <row r="96" spans="1:18" x14ac:dyDescent="0.3">
      <c r="A96" t="s">
        <v>366</v>
      </c>
      <c r="B96" t="s">
        <v>422</v>
      </c>
      <c r="C96">
        <v>2.7905514226139601</v>
      </c>
      <c r="D96" t="s">
        <v>473</v>
      </c>
      <c r="J96" t="s">
        <v>368</v>
      </c>
      <c r="K96" t="s">
        <v>422</v>
      </c>
      <c r="L96">
        <v>2.0489823341951299</v>
      </c>
      <c r="M96">
        <v>0.20725839293920501</v>
      </c>
      <c r="N96">
        <v>9.8861247794976297</v>
      </c>
      <c r="O96">
        <v>4.78181252813063E-23</v>
      </c>
      <c r="P96">
        <v>7.7600000000000096</v>
      </c>
      <c r="Q96">
        <v>1.6083251292082299</v>
      </c>
      <c r="R96" t="s">
        <v>465</v>
      </c>
    </row>
    <row r="97" spans="1:18" x14ac:dyDescent="0.3">
      <c r="A97" t="s">
        <v>370</v>
      </c>
      <c r="B97" t="s">
        <v>420</v>
      </c>
      <c r="C97">
        <v>2.7866559794512198</v>
      </c>
      <c r="D97" t="s">
        <v>473</v>
      </c>
      <c r="J97" t="s">
        <v>370</v>
      </c>
      <c r="K97" t="s">
        <v>422</v>
      </c>
      <c r="L97">
        <v>2.3135250330323802</v>
      </c>
      <c r="M97">
        <v>0.181580205692464</v>
      </c>
      <c r="N97">
        <v>12.741064061524</v>
      </c>
      <c r="O97">
        <v>3.49593967802571E-37</v>
      </c>
      <c r="P97">
        <v>10.11</v>
      </c>
      <c r="Q97">
        <v>1.8357758795508099</v>
      </c>
      <c r="R97" t="s">
        <v>489</v>
      </c>
    </row>
    <row r="98" spans="1:18" x14ac:dyDescent="0.3">
      <c r="A98" t="s">
        <v>364</v>
      </c>
      <c r="B98" t="s">
        <v>412</v>
      </c>
      <c r="C98">
        <v>2.7508968113707999</v>
      </c>
      <c r="D98" t="s">
        <v>459</v>
      </c>
      <c r="J98" t="s">
        <v>358</v>
      </c>
      <c r="K98" t="s">
        <v>423</v>
      </c>
      <c r="L98">
        <v>1.9685099809725499</v>
      </c>
      <c r="M98">
        <v>0.26426024050077601</v>
      </c>
      <c r="N98">
        <v>7.4491341461061502</v>
      </c>
      <c r="O98">
        <v>9.3954801787847194E-14</v>
      </c>
      <c r="P98">
        <v>7.16</v>
      </c>
      <c r="Q98">
        <v>1.8921033219855601</v>
      </c>
      <c r="R98" t="s">
        <v>495</v>
      </c>
    </row>
    <row r="99" spans="1:18" x14ac:dyDescent="0.3">
      <c r="A99" t="s">
        <v>370</v>
      </c>
      <c r="B99" t="s">
        <v>414</v>
      </c>
      <c r="C99">
        <v>2.7269809887616501</v>
      </c>
      <c r="D99" t="s">
        <v>474</v>
      </c>
      <c r="J99" t="s">
        <v>360</v>
      </c>
      <c r="K99" t="s">
        <v>423</v>
      </c>
      <c r="L99">
        <v>2.9859344310738898</v>
      </c>
      <c r="M99">
        <v>0.158893745745457</v>
      </c>
      <c r="N99">
        <v>18.7920198939564</v>
      </c>
      <c r="O99">
        <v>8.7774056046649401E-79</v>
      </c>
      <c r="P99">
        <v>19.805000000000099</v>
      </c>
      <c r="Q99">
        <v>3.1468906344888001</v>
      </c>
      <c r="R99" t="s">
        <v>487</v>
      </c>
    </row>
    <row r="100" spans="1:18" x14ac:dyDescent="0.3">
      <c r="A100" t="s">
        <v>358</v>
      </c>
      <c r="B100" t="s">
        <v>416</v>
      </c>
      <c r="C100">
        <v>2.7120422223717502</v>
      </c>
      <c r="D100" t="s">
        <v>479</v>
      </c>
      <c r="J100" t="s">
        <v>362</v>
      </c>
      <c r="K100" t="s">
        <v>423</v>
      </c>
      <c r="L100">
        <v>3.3493191208934898</v>
      </c>
      <c r="M100">
        <v>0.108182554645124</v>
      </c>
      <c r="N100">
        <v>30.9598819502868</v>
      </c>
      <c r="O100">
        <v>1.8704895320294599E-210</v>
      </c>
      <c r="P100">
        <v>28.483333333333398</v>
      </c>
      <c r="Q100">
        <v>3.0813997648086202</v>
      </c>
      <c r="R100" t="s">
        <v>486</v>
      </c>
    </row>
    <row r="101" spans="1:18" x14ac:dyDescent="0.3">
      <c r="A101" t="s">
        <v>368</v>
      </c>
      <c r="B101" t="s">
        <v>420</v>
      </c>
      <c r="C101">
        <v>2.6667651364185598</v>
      </c>
      <c r="D101" t="s">
        <v>492</v>
      </c>
      <c r="J101" t="s">
        <v>364</v>
      </c>
      <c r="K101" t="s">
        <v>423</v>
      </c>
      <c r="L101">
        <v>3.4547381485901898</v>
      </c>
      <c r="M101">
        <v>0.102628328722395</v>
      </c>
      <c r="N101">
        <v>33.662617248061203</v>
      </c>
      <c r="O101">
        <v>2.0383552522051802E-248</v>
      </c>
      <c r="P101">
        <v>31.650000000000102</v>
      </c>
      <c r="Q101">
        <v>3.2481866040638101</v>
      </c>
      <c r="R101" t="s">
        <v>476</v>
      </c>
    </row>
    <row r="102" spans="1:18" x14ac:dyDescent="0.3">
      <c r="A102" t="s">
        <v>370</v>
      </c>
      <c r="B102" t="s">
        <v>423</v>
      </c>
      <c r="C102">
        <v>2.5922651681084998</v>
      </c>
      <c r="D102" t="s">
        <v>496</v>
      </c>
      <c r="J102" t="s">
        <v>366</v>
      </c>
      <c r="K102" t="s">
        <v>423</v>
      </c>
      <c r="L102">
        <v>2.8959119382717802</v>
      </c>
      <c r="M102">
        <v>0.13570895786487699</v>
      </c>
      <c r="N102">
        <v>21.339136220876401</v>
      </c>
      <c r="O102">
        <v>4.9195093631200901E-101</v>
      </c>
      <c r="P102">
        <v>18.100000000000101</v>
      </c>
      <c r="Q102">
        <v>2.4563321373542801</v>
      </c>
      <c r="R102" t="s">
        <v>469</v>
      </c>
    </row>
    <row r="103" spans="1:18" x14ac:dyDescent="0.3">
      <c r="A103" t="s">
        <v>358</v>
      </c>
      <c r="B103" t="s">
        <v>417</v>
      </c>
      <c r="C103">
        <v>2.5775617929482801</v>
      </c>
      <c r="D103" t="s">
        <v>482</v>
      </c>
      <c r="J103" t="s">
        <v>368</v>
      </c>
      <c r="K103" t="s">
        <v>423</v>
      </c>
      <c r="L103">
        <v>2.4612967841488702</v>
      </c>
      <c r="M103">
        <v>0.168647934103063</v>
      </c>
      <c r="N103">
        <v>14.594289560907001</v>
      </c>
      <c r="O103">
        <v>3.0537727068804798E-48</v>
      </c>
      <c r="P103">
        <v>11.7200000000001</v>
      </c>
      <c r="Q103">
        <v>1.97655378768792</v>
      </c>
      <c r="R103" t="s">
        <v>490</v>
      </c>
    </row>
    <row r="104" spans="1:18" x14ac:dyDescent="0.3">
      <c r="A104" t="s">
        <v>366</v>
      </c>
      <c r="B104" t="s">
        <v>417</v>
      </c>
      <c r="C104">
        <v>2.5418644262176602</v>
      </c>
      <c r="D104" t="s">
        <v>466</v>
      </c>
      <c r="J104" t="s">
        <v>370</v>
      </c>
      <c r="K104" t="s">
        <v>423</v>
      </c>
      <c r="L104">
        <v>2.5922651681084998</v>
      </c>
      <c r="M104">
        <v>0.157958269120866</v>
      </c>
      <c r="N104">
        <v>16.411076055315299</v>
      </c>
      <c r="O104">
        <v>1.5935591077132899E-60</v>
      </c>
      <c r="P104">
        <v>13.36</v>
      </c>
      <c r="Q104">
        <v>2.11032247545478</v>
      </c>
      <c r="R104" t="s">
        <v>496</v>
      </c>
    </row>
    <row r="105" spans="1:18" x14ac:dyDescent="0.3">
      <c r="A105" t="s">
        <v>364</v>
      </c>
      <c r="B105" t="s">
        <v>413</v>
      </c>
      <c r="C105">
        <v>2.53633882342027</v>
      </c>
      <c r="D105" t="s">
        <v>466</v>
      </c>
    </row>
    <row r="106" spans="1:18" x14ac:dyDescent="0.3">
      <c r="A106" t="s">
        <v>370</v>
      </c>
      <c r="B106" t="s">
        <v>418</v>
      </c>
      <c r="C106">
        <v>2.4709204078132601</v>
      </c>
      <c r="D106" t="s">
        <v>490</v>
      </c>
    </row>
    <row r="107" spans="1:18" x14ac:dyDescent="0.3">
      <c r="A107" t="s">
        <v>368</v>
      </c>
      <c r="B107" t="s">
        <v>423</v>
      </c>
      <c r="C107">
        <v>2.4612967841488702</v>
      </c>
      <c r="D107" t="s">
        <v>490</v>
      </c>
    </row>
    <row r="108" spans="1:18" x14ac:dyDescent="0.3">
      <c r="A108" t="s">
        <v>358</v>
      </c>
      <c r="B108" t="s">
        <v>412</v>
      </c>
      <c r="C108">
        <v>2.4548769033363298</v>
      </c>
      <c r="D108" t="s">
        <v>456</v>
      </c>
    </row>
    <row r="109" spans="1:18" x14ac:dyDescent="0.3">
      <c r="A109" t="s">
        <v>366</v>
      </c>
      <c r="B109" t="s">
        <v>421</v>
      </c>
      <c r="C109">
        <v>2.4472624710288202</v>
      </c>
      <c r="D109" t="s">
        <v>493</v>
      </c>
    </row>
    <row r="110" spans="1:18" x14ac:dyDescent="0.3">
      <c r="A110" t="s">
        <v>366</v>
      </c>
      <c r="B110" t="s">
        <v>415</v>
      </c>
      <c r="C110">
        <v>2.3988039507345902</v>
      </c>
      <c r="D110" t="s">
        <v>477</v>
      </c>
    </row>
    <row r="111" spans="1:18" x14ac:dyDescent="0.3">
      <c r="A111" t="s">
        <v>366</v>
      </c>
      <c r="B111" t="s">
        <v>416</v>
      </c>
      <c r="C111">
        <v>2.3783108035221798</v>
      </c>
      <c r="D111" t="s">
        <v>477</v>
      </c>
    </row>
    <row r="112" spans="1:18" x14ac:dyDescent="0.3">
      <c r="A112" t="s">
        <v>368</v>
      </c>
      <c r="B112" t="s">
        <v>418</v>
      </c>
      <c r="C112">
        <v>2.3197699177481499</v>
      </c>
      <c r="D112" t="s">
        <v>489</v>
      </c>
    </row>
    <row r="113" spans="1:4" x14ac:dyDescent="0.3">
      <c r="A113" t="s">
        <v>370</v>
      </c>
      <c r="B113" t="s">
        <v>422</v>
      </c>
      <c r="C113">
        <v>2.3135250330323802</v>
      </c>
      <c r="D113" t="s">
        <v>489</v>
      </c>
    </row>
    <row r="114" spans="1:4" x14ac:dyDescent="0.3">
      <c r="A114" t="s">
        <v>368</v>
      </c>
      <c r="B114" t="s">
        <v>417</v>
      </c>
      <c r="C114">
        <v>2.1625564483903501</v>
      </c>
      <c r="D114" t="s">
        <v>485</v>
      </c>
    </row>
    <row r="115" spans="1:4" x14ac:dyDescent="0.3">
      <c r="A115" t="s">
        <v>368</v>
      </c>
      <c r="B115" t="s">
        <v>415</v>
      </c>
      <c r="C115">
        <v>2.12942147398486</v>
      </c>
      <c r="D115" t="s">
        <v>478</v>
      </c>
    </row>
    <row r="116" spans="1:4" x14ac:dyDescent="0.3">
      <c r="A116" t="s">
        <v>370</v>
      </c>
      <c r="B116" t="s">
        <v>421</v>
      </c>
      <c r="C116">
        <v>2.0794415416798402</v>
      </c>
      <c r="D116" t="s">
        <v>465</v>
      </c>
    </row>
    <row r="117" spans="1:4" x14ac:dyDescent="0.3">
      <c r="A117" t="s">
        <v>368</v>
      </c>
      <c r="B117" t="s">
        <v>422</v>
      </c>
      <c r="C117">
        <v>2.0489823341951299</v>
      </c>
      <c r="D117" t="s">
        <v>465</v>
      </c>
    </row>
    <row r="118" spans="1:4" x14ac:dyDescent="0.3">
      <c r="A118" t="s">
        <v>368</v>
      </c>
      <c r="B118" t="s">
        <v>416</v>
      </c>
      <c r="C118">
        <v>2.0476928433652599</v>
      </c>
      <c r="D118" t="s">
        <v>465</v>
      </c>
    </row>
    <row r="119" spans="1:4" x14ac:dyDescent="0.3">
      <c r="A119" t="s">
        <v>366</v>
      </c>
      <c r="B119" t="s">
        <v>413</v>
      </c>
      <c r="C119">
        <v>2.0381854251644902</v>
      </c>
      <c r="D119" t="s">
        <v>465</v>
      </c>
    </row>
    <row r="120" spans="1:4" x14ac:dyDescent="0.3">
      <c r="A120" t="s">
        <v>362</v>
      </c>
      <c r="B120" t="s">
        <v>413</v>
      </c>
      <c r="C120">
        <v>2.00642271977634</v>
      </c>
      <c r="D120" t="s">
        <v>465</v>
      </c>
    </row>
    <row r="121" spans="1:4" x14ac:dyDescent="0.3">
      <c r="A121" t="s">
        <v>366</v>
      </c>
      <c r="B121" t="s">
        <v>412</v>
      </c>
      <c r="C121">
        <v>1.9777778879033401</v>
      </c>
      <c r="D121" t="s">
        <v>460</v>
      </c>
    </row>
    <row r="122" spans="1:4" x14ac:dyDescent="0.3">
      <c r="A122" t="s">
        <v>358</v>
      </c>
      <c r="B122" t="s">
        <v>423</v>
      </c>
      <c r="C122">
        <v>1.9685099809725499</v>
      </c>
      <c r="D122" t="s">
        <v>495</v>
      </c>
    </row>
    <row r="123" spans="1:4" x14ac:dyDescent="0.3">
      <c r="A123" t="s">
        <v>370</v>
      </c>
      <c r="B123" t="s">
        <v>416</v>
      </c>
      <c r="C123">
        <v>1.87231486596691</v>
      </c>
      <c r="D123" t="s">
        <v>458</v>
      </c>
    </row>
    <row r="124" spans="1:4" x14ac:dyDescent="0.3">
      <c r="A124" t="s">
        <v>362</v>
      </c>
      <c r="B124" t="s">
        <v>412</v>
      </c>
      <c r="C124">
        <v>1.77777322725332</v>
      </c>
      <c r="D124" t="s">
        <v>458</v>
      </c>
    </row>
    <row r="125" spans="1:4" x14ac:dyDescent="0.3">
      <c r="A125" t="s">
        <v>368</v>
      </c>
      <c r="B125" t="s">
        <v>421</v>
      </c>
      <c r="C125">
        <v>1.67335123817776</v>
      </c>
      <c r="D125" t="s">
        <v>494</v>
      </c>
    </row>
    <row r="126" spans="1:4" x14ac:dyDescent="0.3">
      <c r="A126" t="s">
        <v>370</v>
      </c>
      <c r="B126" t="s">
        <v>413</v>
      </c>
      <c r="C126">
        <v>1.3314861246248999</v>
      </c>
      <c r="D126" t="s">
        <v>468</v>
      </c>
    </row>
    <row r="127" spans="1:4" x14ac:dyDescent="0.3">
      <c r="A127" t="s">
        <v>368</v>
      </c>
      <c r="B127" t="s">
        <v>413</v>
      </c>
      <c r="C127">
        <v>1.25085639022479</v>
      </c>
      <c r="D127" t="s">
        <v>467</v>
      </c>
    </row>
    <row r="128" spans="1:4" x14ac:dyDescent="0.3">
      <c r="A128" t="s">
        <v>370</v>
      </c>
      <c r="B128" t="s">
        <v>412</v>
      </c>
      <c r="C128">
        <v>1.19493205967379</v>
      </c>
      <c r="D128" t="s">
        <v>462</v>
      </c>
    </row>
    <row r="129" spans="1:4" x14ac:dyDescent="0.3">
      <c r="A129" t="s">
        <v>370</v>
      </c>
      <c r="B129" t="s">
        <v>415</v>
      </c>
      <c r="C129">
        <v>1.0018566202038099</v>
      </c>
      <c r="D129" t="s">
        <v>461</v>
      </c>
    </row>
    <row r="130" spans="1:4" x14ac:dyDescent="0.3">
      <c r="A130" t="s">
        <v>368</v>
      </c>
      <c r="B130" t="s">
        <v>412</v>
      </c>
      <c r="C130">
        <v>0.88651857354048802</v>
      </c>
      <c r="D130" t="s">
        <v>461</v>
      </c>
    </row>
    <row r="131" spans="1:4" x14ac:dyDescent="0.3">
      <c r="A131" t="s">
        <v>370</v>
      </c>
      <c r="B131" t="s">
        <v>417</v>
      </c>
      <c r="C131">
        <v>0.79148308128081102</v>
      </c>
      <c r="D131" t="s">
        <v>461</v>
      </c>
    </row>
  </sheetData>
  <conditionalFormatting sqref="E5:E7">
    <cfRule type="cellIs" dxfId="8" priority="1" operator="between">
      <formula>0.01</formula>
      <formula>0.05</formula>
    </cfRule>
    <cfRule type="cellIs" dxfId="7" priority="2" operator="between">
      <formula>0.001</formula>
      <formula>0.01</formula>
    </cfRule>
    <cfRule type="cellIs" dxfId="6" priority="3" operator="lessThan">
      <formula>0.001</formula>
    </cfRule>
  </conditionalFormatting>
  <conditionalFormatting sqref="F21:F32">
    <cfRule type="colorScale" priority="4">
      <colorScale>
        <cfvo type="min"/>
        <cfvo type="max"/>
        <color theme="8" tint="0.59999389629810485"/>
        <color theme="9" tint="0.59999389629810485"/>
      </colorScale>
    </cfRule>
  </conditionalFormatting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26"/>
  <sheetViews>
    <sheetView topLeftCell="K1" workbookViewId="0">
      <selection activeCell="AB9" sqref="AB9:AB10"/>
    </sheetView>
  </sheetViews>
  <sheetFormatPr defaultColWidth="11.44140625" defaultRowHeight="14.4" x14ac:dyDescent="0.3"/>
  <sheetData>
    <row r="1" spans="1:2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57</v>
      </c>
    </row>
    <row r="2" spans="1:28" x14ac:dyDescent="0.3">
      <c r="A2" s="1">
        <v>45567</v>
      </c>
      <c r="B2" s="3">
        <v>7.32</v>
      </c>
      <c r="C2" s="3">
        <v>7.66</v>
      </c>
      <c r="D2" s="3">
        <v>2.77</v>
      </c>
      <c r="E2" s="1">
        <v>45567</v>
      </c>
      <c r="F2" s="3">
        <v>17.899999999999999</v>
      </c>
      <c r="G2" s="3">
        <v>15.41</v>
      </c>
      <c r="H2" s="3">
        <v>13.66</v>
      </c>
      <c r="I2" s="1">
        <v>45568</v>
      </c>
      <c r="J2" s="3">
        <v>10.48</v>
      </c>
      <c r="K2" s="3">
        <v>5.39</v>
      </c>
      <c r="L2" s="3">
        <v>5.81</v>
      </c>
      <c r="M2" s="1">
        <v>45568</v>
      </c>
      <c r="N2" s="3">
        <v>1.35</v>
      </c>
      <c r="O2" s="3">
        <v>4.95</v>
      </c>
      <c r="P2" s="3">
        <v>0.98</v>
      </c>
      <c r="Q2" s="1">
        <v>45568</v>
      </c>
      <c r="R2" s="3">
        <v>6.2</v>
      </c>
      <c r="S2" s="3">
        <v>3.19</v>
      </c>
      <c r="T2" s="3">
        <v>0.52</v>
      </c>
      <c r="U2" s="1">
        <v>45588</v>
      </c>
      <c r="V2" s="3">
        <v>10.8</v>
      </c>
      <c r="W2" s="3">
        <v>12.49</v>
      </c>
      <c r="X2" s="1">
        <v>45588</v>
      </c>
      <c r="Y2" s="3">
        <v>24.11</v>
      </c>
      <c r="Z2" s="3">
        <v>25.47</v>
      </c>
      <c r="AB2" s="20">
        <f>AVERAGE(V2:W2)</f>
        <v>11.645</v>
      </c>
    </row>
    <row r="3" spans="1:28" x14ac:dyDescent="0.3">
      <c r="A3" s="1">
        <v>45601</v>
      </c>
      <c r="B3" s="3">
        <v>7.94</v>
      </c>
      <c r="C3" s="3">
        <v>8.57</v>
      </c>
      <c r="D3" s="3">
        <v>5.8</v>
      </c>
      <c r="E3" s="1">
        <v>45601</v>
      </c>
      <c r="F3" s="3">
        <v>14.39</v>
      </c>
      <c r="G3" s="3">
        <v>11.24</v>
      </c>
      <c r="H3" s="3">
        <v>12.27</v>
      </c>
      <c r="I3" s="1">
        <v>45602</v>
      </c>
      <c r="J3" s="3">
        <v>8.59</v>
      </c>
      <c r="K3" s="3">
        <v>8.23</v>
      </c>
      <c r="L3" s="3">
        <v>6.21</v>
      </c>
      <c r="M3" s="1">
        <v>45602</v>
      </c>
      <c r="N3" s="3">
        <v>3.78</v>
      </c>
      <c r="O3" s="3">
        <v>4.74</v>
      </c>
      <c r="P3" s="3">
        <v>1.96</v>
      </c>
      <c r="Q3" s="1">
        <v>45602</v>
      </c>
      <c r="R3" s="3">
        <v>5.62</v>
      </c>
      <c r="S3" s="3">
        <v>3.75</v>
      </c>
      <c r="T3" s="3">
        <v>1.99</v>
      </c>
      <c r="U3" s="1">
        <v>45609</v>
      </c>
      <c r="V3" s="3">
        <v>14.12</v>
      </c>
      <c r="W3" s="3">
        <v>18.850000000000001</v>
      </c>
      <c r="X3" s="1">
        <v>45609</v>
      </c>
      <c r="Y3" s="3">
        <v>25.7</v>
      </c>
      <c r="Z3" s="3">
        <v>27.27</v>
      </c>
      <c r="AB3">
        <f>AVERAGE(V3:W3)</f>
        <v>16.484999999999999</v>
      </c>
    </row>
    <row r="4" spans="1:28" x14ac:dyDescent="0.3">
      <c r="A4" s="1">
        <v>45630</v>
      </c>
      <c r="B4" s="3">
        <v>27.77</v>
      </c>
      <c r="C4" s="3">
        <v>27.75</v>
      </c>
      <c r="D4" s="3">
        <v>23.56</v>
      </c>
      <c r="E4" s="1">
        <v>45630</v>
      </c>
      <c r="F4" s="3">
        <v>29.67</v>
      </c>
      <c r="G4" s="3">
        <v>30.36</v>
      </c>
      <c r="H4" s="3">
        <v>30.05</v>
      </c>
      <c r="I4" s="1">
        <v>45631</v>
      </c>
      <c r="J4" s="3">
        <v>24.06</v>
      </c>
      <c r="K4" s="3">
        <v>19.84</v>
      </c>
      <c r="L4" s="3">
        <v>19.2</v>
      </c>
      <c r="M4" s="1">
        <v>45631</v>
      </c>
      <c r="N4" s="3">
        <v>16.27</v>
      </c>
      <c r="O4" s="3">
        <v>17.57</v>
      </c>
      <c r="P4" s="3">
        <v>17.18</v>
      </c>
      <c r="Q4" s="1">
        <v>45631</v>
      </c>
      <c r="R4" s="3">
        <v>17.32</v>
      </c>
      <c r="S4" s="3">
        <v>18.22</v>
      </c>
      <c r="T4" s="3">
        <v>10.32</v>
      </c>
      <c r="U4" s="1">
        <v>45636</v>
      </c>
      <c r="V4" s="3">
        <v>17.25</v>
      </c>
      <c r="W4" s="3">
        <v>16.43</v>
      </c>
      <c r="X4" s="1">
        <v>45636</v>
      </c>
      <c r="Y4" s="3">
        <v>25.57</v>
      </c>
      <c r="Z4" s="3">
        <v>29.19</v>
      </c>
      <c r="AB4">
        <f>AVERAGE(V4:W4)</f>
        <v>16.84</v>
      </c>
    </row>
    <row r="5" spans="1:28" x14ac:dyDescent="0.3">
      <c r="A5" s="1">
        <v>45663</v>
      </c>
      <c r="B5" s="3">
        <v>26.51</v>
      </c>
      <c r="C5" s="3">
        <v>26.17</v>
      </c>
      <c r="D5" s="3">
        <v>23.84</v>
      </c>
      <c r="E5" s="1">
        <v>45663</v>
      </c>
      <c r="F5" s="3">
        <v>30.88</v>
      </c>
      <c r="G5" s="3">
        <v>31.93</v>
      </c>
      <c r="H5" s="3">
        <v>31.5</v>
      </c>
      <c r="I5" s="1">
        <v>45664</v>
      </c>
      <c r="J5" s="3">
        <v>12.34</v>
      </c>
      <c r="K5" s="3">
        <v>11.68</v>
      </c>
      <c r="L5" s="3">
        <v>9.01</v>
      </c>
      <c r="M5" s="1">
        <v>45664</v>
      </c>
      <c r="N5" s="3">
        <v>6.74</v>
      </c>
      <c r="O5" s="3">
        <v>9.5500000000000007</v>
      </c>
      <c r="P5" s="3">
        <v>8.94</v>
      </c>
      <c r="Q5" s="1">
        <v>45664</v>
      </c>
      <c r="R5" s="3">
        <v>3.63</v>
      </c>
      <c r="S5" s="3">
        <v>3.87</v>
      </c>
      <c r="T5" s="3">
        <v>0.67</v>
      </c>
      <c r="U5" s="1">
        <v>45670</v>
      </c>
      <c r="V5" s="3">
        <v>15.51</v>
      </c>
      <c r="W5" s="3">
        <v>19.510000000000002</v>
      </c>
      <c r="X5" s="1">
        <v>45670</v>
      </c>
      <c r="Y5" s="9">
        <v>20.64</v>
      </c>
      <c r="Z5" s="3">
        <v>24.91</v>
      </c>
      <c r="AB5">
        <f>AVERAGE(V5:W5)</f>
        <v>17.510000000000002</v>
      </c>
    </row>
    <row r="6" spans="1:28" x14ac:dyDescent="0.3">
      <c r="A6" s="1">
        <v>45699</v>
      </c>
      <c r="B6" s="3">
        <v>22.71</v>
      </c>
      <c r="C6" s="3">
        <v>23.1</v>
      </c>
      <c r="D6" s="3">
        <v>21.66</v>
      </c>
      <c r="E6" s="1">
        <v>45699</v>
      </c>
      <c r="F6" s="3">
        <v>32.6</v>
      </c>
      <c r="G6" s="3">
        <v>31.67</v>
      </c>
      <c r="H6" s="3">
        <v>32.07</v>
      </c>
      <c r="I6" s="1">
        <v>45700</v>
      </c>
      <c r="J6" s="3">
        <v>11.69</v>
      </c>
      <c r="K6" s="3">
        <v>9.86</v>
      </c>
      <c r="L6" s="3">
        <v>10.81</v>
      </c>
      <c r="M6" s="1">
        <v>45700</v>
      </c>
      <c r="N6" s="3">
        <v>7.33</v>
      </c>
      <c r="O6" s="3">
        <v>7.67</v>
      </c>
      <c r="P6" s="3">
        <v>8.25</v>
      </c>
      <c r="Q6" s="1">
        <v>45700</v>
      </c>
      <c r="R6" s="3">
        <v>10.199999999999999</v>
      </c>
      <c r="S6" s="3">
        <v>8.1999999999999993</v>
      </c>
      <c r="T6" s="3">
        <v>1.1100000000000001</v>
      </c>
      <c r="U6" s="1">
        <v>45691</v>
      </c>
      <c r="V6" s="3">
        <v>13.37</v>
      </c>
      <c r="W6" s="3">
        <v>16.75</v>
      </c>
      <c r="X6" s="1">
        <v>45691</v>
      </c>
      <c r="Y6" s="9">
        <v>21.11</v>
      </c>
      <c r="Z6" s="3">
        <v>22.6</v>
      </c>
      <c r="AB6">
        <f>AVERAGE(V6:W6)</f>
        <v>15.059999999999999</v>
      </c>
    </row>
    <row r="7" spans="1:28" x14ac:dyDescent="0.3">
      <c r="A7" s="1">
        <v>45734</v>
      </c>
      <c r="B7" s="3">
        <v>29.11</v>
      </c>
      <c r="C7" s="3">
        <v>31.25</v>
      </c>
      <c r="D7" s="3">
        <v>23.59</v>
      </c>
      <c r="E7" s="1">
        <v>45734</v>
      </c>
      <c r="F7" s="3">
        <v>31.73</v>
      </c>
      <c r="G7" s="3">
        <v>32.96</v>
      </c>
      <c r="H7" s="3">
        <v>32.799999999999997</v>
      </c>
      <c r="I7" s="1">
        <v>45734</v>
      </c>
      <c r="J7" s="3">
        <v>16.649999999999999</v>
      </c>
      <c r="K7" s="3">
        <v>10.83</v>
      </c>
      <c r="L7" s="3">
        <v>10.63</v>
      </c>
      <c r="M7" s="1">
        <v>45734</v>
      </c>
      <c r="N7" s="3">
        <v>7.56</v>
      </c>
      <c r="O7" s="3">
        <v>9.41</v>
      </c>
      <c r="P7" s="3">
        <v>9.11</v>
      </c>
      <c r="Q7" s="1">
        <v>45734</v>
      </c>
      <c r="R7" s="3">
        <v>3.78</v>
      </c>
      <c r="S7" s="3">
        <v>2.14</v>
      </c>
      <c r="T7" s="3">
        <v>0.7</v>
      </c>
      <c r="U7" s="1">
        <v>45719</v>
      </c>
      <c r="V7" s="3">
        <v>11.4</v>
      </c>
      <c r="W7" s="3">
        <v>14.93</v>
      </c>
      <c r="X7" s="1">
        <v>45719</v>
      </c>
      <c r="Y7" s="9">
        <v>20.96</v>
      </c>
      <c r="Z7" s="3">
        <v>28.83</v>
      </c>
      <c r="AB7" s="20">
        <f>AVERAGE(V7:W7)</f>
        <v>13.164999999999999</v>
      </c>
    </row>
    <row r="8" spans="1:28" x14ac:dyDescent="0.3">
      <c r="A8" s="1">
        <v>45755</v>
      </c>
      <c r="B8" s="3">
        <v>17.23</v>
      </c>
      <c r="C8" s="3">
        <v>24.73</v>
      </c>
      <c r="D8" s="3">
        <v>13.45</v>
      </c>
      <c r="E8" s="1">
        <v>45755</v>
      </c>
      <c r="F8" s="11">
        <v>26.74</v>
      </c>
      <c r="G8" s="3">
        <v>27.03</v>
      </c>
      <c r="H8" s="3">
        <v>27.27</v>
      </c>
      <c r="I8" s="1">
        <v>45756</v>
      </c>
      <c r="J8" s="3">
        <v>16.28</v>
      </c>
      <c r="K8" s="3">
        <v>18</v>
      </c>
      <c r="L8" s="3">
        <v>19.420000000000002</v>
      </c>
      <c r="M8" s="1">
        <v>45756</v>
      </c>
      <c r="N8" s="3">
        <v>8.5500000000000007</v>
      </c>
      <c r="O8" s="3">
        <v>11.38</v>
      </c>
      <c r="P8" s="3">
        <v>10.59</v>
      </c>
      <c r="Q8" s="1">
        <v>45756</v>
      </c>
      <c r="R8" s="3">
        <v>11.79</v>
      </c>
      <c r="S8" s="3">
        <v>13.7</v>
      </c>
      <c r="T8" s="3">
        <v>10.01</v>
      </c>
      <c r="U8" s="1">
        <v>45762</v>
      </c>
      <c r="V8" s="3">
        <v>16.8</v>
      </c>
      <c r="W8" s="3">
        <v>20.82</v>
      </c>
      <c r="X8" s="1">
        <v>45762</v>
      </c>
      <c r="Y8" s="3">
        <v>28.84</v>
      </c>
      <c r="Z8" s="3">
        <v>32.08</v>
      </c>
      <c r="AB8">
        <f>AVERAGE(V8:W8)</f>
        <v>18.810000000000002</v>
      </c>
    </row>
    <row r="9" spans="1:28" x14ac:dyDescent="0.3">
      <c r="A9" s="1">
        <v>45783</v>
      </c>
      <c r="B9" s="3">
        <v>30.39</v>
      </c>
      <c r="C9" s="3">
        <v>30.7</v>
      </c>
      <c r="D9" s="3">
        <v>29.61</v>
      </c>
      <c r="E9" s="1">
        <v>45783</v>
      </c>
      <c r="F9" s="3">
        <v>36.9</v>
      </c>
      <c r="G9" s="3">
        <v>35.880000000000003</v>
      </c>
      <c r="H9" s="3">
        <v>36.020000000000003</v>
      </c>
      <c r="I9" s="1">
        <v>45784</v>
      </c>
      <c r="J9" s="3">
        <v>27.27</v>
      </c>
      <c r="K9" s="3">
        <v>28.29</v>
      </c>
      <c r="L9" s="3">
        <v>28.09</v>
      </c>
      <c r="M9" s="1">
        <v>45784</v>
      </c>
      <c r="N9" s="3">
        <v>22.17</v>
      </c>
      <c r="O9" s="3">
        <v>22.8</v>
      </c>
      <c r="P9" s="3">
        <v>22.79</v>
      </c>
      <c r="Q9" s="1">
        <v>45784</v>
      </c>
      <c r="R9" s="3">
        <v>25.16</v>
      </c>
      <c r="S9" s="3">
        <v>23.73</v>
      </c>
      <c r="T9" s="3">
        <v>18.989999999999998</v>
      </c>
      <c r="U9" s="1">
        <v>45791</v>
      </c>
      <c r="V9" s="3">
        <v>23.33</v>
      </c>
      <c r="W9" s="3">
        <v>25.4</v>
      </c>
      <c r="X9" s="1">
        <v>45791</v>
      </c>
      <c r="Y9" s="3">
        <v>32.93</v>
      </c>
      <c r="Z9" s="3">
        <v>36.39</v>
      </c>
      <c r="AB9" s="27">
        <f>AVERAGE(V9:W9)</f>
        <v>24.364999999999998</v>
      </c>
    </row>
    <row r="10" spans="1:28" x14ac:dyDescent="0.3">
      <c r="A10" s="1">
        <v>45818</v>
      </c>
      <c r="B10" s="3">
        <v>17.02</v>
      </c>
      <c r="C10" s="3">
        <v>19.059999999999999</v>
      </c>
      <c r="D10" s="3">
        <v>12.88</v>
      </c>
      <c r="E10" s="1">
        <v>45818</v>
      </c>
      <c r="F10" s="3">
        <v>31.05</v>
      </c>
      <c r="G10" s="3">
        <v>31.01</v>
      </c>
      <c r="H10" s="3">
        <v>31.19</v>
      </c>
      <c r="I10" s="1">
        <v>45819</v>
      </c>
      <c r="J10" s="3">
        <v>20.71</v>
      </c>
      <c r="K10" s="3">
        <v>20.93</v>
      </c>
      <c r="L10" s="3">
        <v>21.53</v>
      </c>
      <c r="M10" s="1">
        <v>45819</v>
      </c>
      <c r="N10" s="3">
        <v>12.25</v>
      </c>
      <c r="O10" s="3">
        <v>18.34</v>
      </c>
      <c r="P10" s="3">
        <v>12.59</v>
      </c>
      <c r="Q10" s="1">
        <v>45819</v>
      </c>
      <c r="R10" s="3">
        <v>18.739999999999998</v>
      </c>
      <c r="S10" s="3">
        <v>15.8</v>
      </c>
      <c r="T10" s="3">
        <v>14.14</v>
      </c>
      <c r="U10" s="1">
        <v>45825</v>
      </c>
      <c r="V10" s="3">
        <v>22.84</v>
      </c>
      <c r="W10" s="3">
        <v>25.85</v>
      </c>
      <c r="X10" s="1">
        <v>45825</v>
      </c>
      <c r="Y10" s="3">
        <v>30.62</v>
      </c>
      <c r="Z10" s="3">
        <v>33.21</v>
      </c>
      <c r="AB10" s="27">
        <f>AVERAGE(V10:W10)</f>
        <v>24.344999999999999</v>
      </c>
    </row>
    <row r="11" spans="1:28" x14ac:dyDescent="0.3">
      <c r="A11" s="1">
        <v>45846</v>
      </c>
      <c r="B11" s="3">
        <v>23.73</v>
      </c>
      <c r="C11" s="3">
        <v>20.5</v>
      </c>
      <c r="D11" s="3">
        <v>11.54</v>
      </c>
      <c r="E11" s="1">
        <v>45846</v>
      </c>
      <c r="F11" s="3">
        <v>30.14</v>
      </c>
      <c r="G11" s="3">
        <v>32.18</v>
      </c>
      <c r="H11" s="3">
        <v>32.520000000000003</v>
      </c>
      <c r="I11" s="1">
        <v>45847</v>
      </c>
      <c r="J11" s="3">
        <v>15.41</v>
      </c>
      <c r="K11" s="3">
        <v>9.59</v>
      </c>
      <c r="L11" s="3">
        <v>9.67</v>
      </c>
      <c r="M11" s="1">
        <v>45847</v>
      </c>
      <c r="N11" s="3">
        <v>3.45</v>
      </c>
      <c r="O11" s="3">
        <v>8.6300000000000008</v>
      </c>
      <c r="P11" s="3">
        <v>3.91</v>
      </c>
      <c r="Q11" s="1">
        <v>45847</v>
      </c>
      <c r="R11" s="3">
        <v>9.8800000000000008</v>
      </c>
      <c r="S11" s="3">
        <v>7.35</v>
      </c>
      <c r="T11" s="3">
        <v>6.77</v>
      </c>
      <c r="U11" s="1">
        <v>45862</v>
      </c>
      <c r="V11" s="3">
        <v>18.21</v>
      </c>
      <c r="W11" s="3">
        <v>18.28</v>
      </c>
      <c r="X11" s="1">
        <v>45862</v>
      </c>
      <c r="Y11" s="3">
        <v>26.51</v>
      </c>
      <c r="Z11" s="3">
        <v>33.450000000000003</v>
      </c>
      <c r="AB11">
        <f>AVERAGE(V11:W11)</f>
        <v>18.245000000000001</v>
      </c>
    </row>
    <row r="12" spans="1:28" x14ac:dyDescent="0.3">
      <c r="A12" s="1">
        <v>45874</v>
      </c>
      <c r="B12" s="3">
        <v>19.88</v>
      </c>
      <c r="C12" s="3">
        <v>21.34</v>
      </c>
      <c r="D12" s="3">
        <v>19.37</v>
      </c>
      <c r="E12" s="1">
        <v>45874</v>
      </c>
      <c r="F12" s="3">
        <v>29.78</v>
      </c>
      <c r="G12" s="3">
        <v>28.96</v>
      </c>
      <c r="H12" s="3">
        <v>29.01</v>
      </c>
      <c r="I12" s="1">
        <v>45875</v>
      </c>
      <c r="J12" s="3">
        <v>20.22</v>
      </c>
      <c r="K12" s="3">
        <v>14.24</v>
      </c>
      <c r="L12" s="3">
        <v>14.41</v>
      </c>
      <c r="M12" s="1">
        <v>45875</v>
      </c>
      <c r="N12" s="3">
        <v>6.47</v>
      </c>
      <c r="O12" s="3">
        <v>8.9600000000000009</v>
      </c>
      <c r="P12" s="3">
        <v>7.85</v>
      </c>
      <c r="Q12" s="1">
        <v>45875</v>
      </c>
      <c r="R12" s="3">
        <v>11.26</v>
      </c>
      <c r="S12" s="3">
        <v>11.2</v>
      </c>
      <c r="T12" s="3">
        <v>7.87</v>
      </c>
      <c r="U12" s="1">
        <v>45890</v>
      </c>
      <c r="V12" s="3">
        <v>20.85</v>
      </c>
      <c r="W12" s="3">
        <v>14.34</v>
      </c>
      <c r="X12" s="1">
        <v>45890</v>
      </c>
      <c r="Y12" s="3">
        <v>27</v>
      </c>
      <c r="Z12" s="3">
        <v>28.45</v>
      </c>
      <c r="AB12">
        <f>AVERAGE(V12:W12)</f>
        <v>17.594999999999999</v>
      </c>
    </row>
    <row r="13" spans="1:28" x14ac:dyDescent="0.3">
      <c r="A13" s="1">
        <v>45903</v>
      </c>
      <c r="B13" s="3">
        <v>26.9</v>
      </c>
      <c r="C13" s="3">
        <v>30.47</v>
      </c>
      <c r="D13" s="3">
        <v>28.08</v>
      </c>
      <c r="E13" s="1">
        <v>45904</v>
      </c>
      <c r="F13" s="3">
        <v>31.72</v>
      </c>
      <c r="G13" s="3">
        <v>31.58</v>
      </c>
      <c r="H13" s="3">
        <v>31.65</v>
      </c>
      <c r="I13" s="1">
        <v>45903</v>
      </c>
      <c r="J13" s="3">
        <v>19.37</v>
      </c>
      <c r="K13" s="3">
        <v>17.649999999999999</v>
      </c>
      <c r="L13" s="3">
        <v>17.28</v>
      </c>
      <c r="M13" s="1">
        <v>45903</v>
      </c>
      <c r="N13" s="3">
        <v>11.89</v>
      </c>
      <c r="O13" s="3">
        <v>12.44</v>
      </c>
      <c r="P13" s="3">
        <v>10.83</v>
      </c>
      <c r="Q13" s="1">
        <v>45903</v>
      </c>
      <c r="R13" s="3">
        <v>13.1</v>
      </c>
      <c r="S13" s="3">
        <v>14.03</v>
      </c>
      <c r="T13" s="3">
        <v>12.95</v>
      </c>
      <c r="U13" s="1">
        <v>45916</v>
      </c>
      <c r="V13" s="3">
        <v>4.32</v>
      </c>
      <c r="W13" s="3">
        <v>10</v>
      </c>
      <c r="X13" s="1">
        <v>45916</v>
      </c>
      <c r="Y13" s="3">
        <v>13.92</v>
      </c>
      <c r="Z13" s="3">
        <v>25.69</v>
      </c>
      <c r="AB13" s="20">
        <f>AVERAGE(V13:W13)</f>
        <v>7.16</v>
      </c>
    </row>
    <row r="18" spans="1:8" x14ac:dyDescent="0.3">
      <c r="A18" t="s">
        <v>58</v>
      </c>
      <c r="B18" t="s">
        <v>59</v>
      </c>
      <c r="C18" t="s">
        <v>60</v>
      </c>
      <c r="D18" t="s">
        <v>30</v>
      </c>
      <c r="E18" t="s">
        <v>31</v>
      </c>
      <c r="F18" t="s">
        <v>61</v>
      </c>
      <c r="G18" t="s">
        <v>62</v>
      </c>
      <c r="H18" t="s">
        <v>63</v>
      </c>
    </row>
    <row r="19" spans="1:8" x14ac:dyDescent="0.3">
      <c r="A19" t="s">
        <v>2</v>
      </c>
      <c r="B19">
        <v>4.32</v>
      </c>
      <c r="C19">
        <v>13.92</v>
      </c>
      <c r="D19">
        <v>2.77</v>
      </c>
      <c r="E19">
        <v>11.24</v>
      </c>
      <c r="F19">
        <v>5.39</v>
      </c>
      <c r="G19">
        <v>0.98</v>
      </c>
      <c r="H19">
        <v>0.52</v>
      </c>
    </row>
    <row r="20" spans="1:8" x14ac:dyDescent="0.3">
      <c r="A20" t="s">
        <v>3</v>
      </c>
      <c r="B20">
        <v>25.85</v>
      </c>
      <c r="C20">
        <v>36.39</v>
      </c>
      <c r="D20">
        <v>31.25</v>
      </c>
      <c r="E20">
        <v>36.9</v>
      </c>
      <c r="F20">
        <v>28.29</v>
      </c>
      <c r="G20">
        <v>22.8</v>
      </c>
      <c r="H20">
        <v>25.16</v>
      </c>
    </row>
    <row r="21" spans="1:8" x14ac:dyDescent="0.3">
      <c r="A21" t="s">
        <v>4</v>
      </c>
      <c r="B21">
        <v>16.77</v>
      </c>
      <c r="C21">
        <v>26.89</v>
      </c>
      <c r="D21">
        <v>20.67</v>
      </c>
      <c r="E21">
        <v>28.44</v>
      </c>
      <c r="F21">
        <v>15.27</v>
      </c>
      <c r="G21">
        <v>9.98</v>
      </c>
      <c r="H21">
        <v>9.66</v>
      </c>
    </row>
    <row r="23" spans="1:8" x14ac:dyDescent="0.3">
      <c r="A23" t="s">
        <v>58</v>
      </c>
      <c r="B23" t="s">
        <v>29</v>
      </c>
      <c r="C23" t="s">
        <v>28</v>
      </c>
      <c r="D23" t="s">
        <v>5</v>
      </c>
    </row>
    <row r="24" spans="1:8" x14ac:dyDescent="0.3">
      <c r="A24" t="s">
        <v>2</v>
      </c>
      <c r="B24">
        <v>4.32</v>
      </c>
      <c r="C24">
        <v>2.77</v>
      </c>
      <c r="D24">
        <v>0.52</v>
      </c>
    </row>
    <row r="25" spans="1:8" x14ac:dyDescent="0.3">
      <c r="A25" t="s">
        <v>3</v>
      </c>
      <c r="B25">
        <v>36.39</v>
      </c>
      <c r="C25">
        <v>36.9</v>
      </c>
      <c r="D25">
        <v>28.29</v>
      </c>
    </row>
    <row r="26" spans="1:8" x14ac:dyDescent="0.3">
      <c r="A26" t="s">
        <v>4</v>
      </c>
      <c r="B26">
        <v>21.83</v>
      </c>
      <c r="C26">
        <v>24.55</v>
      </c>
      <c r="D26">
        <v>11.64</v>
      </c>
    </row>
  </sheetData>
  <conditionalFormatting sqref="B2:D13 F2:H13 J2:L13 N2:P13 R2:T13 V2:W13 Y2:Z13">
    <cfRule type="cellIs" dxfId="5" priority="1" operator="between">
      <formula>12</formula>
      <formula>20</formula>
    </cfRule>
    <cfRule type="cellIs" dxfId="4" priority="2" operator="greaterThan">
      <formula>20</formula>
    </cfRule>
    <cfRule type="cellIs" dxfId="3" priority="3" operator="lessThan">
      <formula>12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4:T109"/>
  <sheetViews>
    <sheetView workbookViewId="0">
      <selection activeCell="E7" sqref="E7"/>
    </sheetView>
  </sheetViews>
  <sheetFormatPr defaultColWidth="11.44140625" defaultRowHeight="14.4" x14ac:dyDescent="0.3"/>
  <sheetData>
    <row r="4" spans="1:8" x14ac:dyDescent="0.3">
      <c r="A4" s="2" t="s">
        <v>345</v>
      </c>
      <c r="B4" s="2" t="s">
        <v>346</v>
      </c>
      <c r="C4" s="2" t="s">
        <v>347</v>
      </c>
      <c r="D4" s="2" t="s">
        <v>348</v>
      </c>
      <c r="E4" s="2" t="s">
        <v>349</v>
      </c>
    </row>
    <row r="5" spans="1:8" x14ac:dyDescent="0.3">
      <c r="A5" t="s">
        <v>339</v>
      </c>
      <c r="B5">
        <v>2</v>
      </c>
      <c r="C5">
        <v>23972</v>
      </c>
      <c r="D5">
        <v>544.65139349285903</v>
      </c>
      <c r="E5">
        <v>4.7609780572801397E-232</v>
      </c>
    </row>
    <row r="6" spans="1:8" x14ac:dyDescent="0.3">
      <c r="A6" t="s">
        <v>1</v>
      </c>
      <c r="B6">
        <v>21</v>
      </c>
      <c r="C6">
        <v>23972</v>
      </c>
      <c r="D6">
        <v>377.07340424017298</v>
      </c>
      <c r="E6">
        <v>0</v>
      </c>
    </row>
    <row r="7" spans="1:8" x14ac:dyDescent="0.3">
      <c r="A7" t="s">
        <v>497</v>
      </c>
      <c r="B7">
        <v>42</v>
      </c>
      <c r="C7">
        <v>23972</v>
      </c>
      <c r="D7">
        <v>40.7784681232637</v>
      </c>
      <c r="E7">
        <v>0</v>
      </c>
    </row>
    <row r="10" spans="1:8" x14ac:dyDescent="0.3">
      <c r="A10" s="2" t="s">
        <v>339</v>
      </c>
      <c r="B10" s="2" t="s">
        <v>352</v>
      </c>
      <c r="C10" s="2" t="s">
        <v>353</v>
      </c>
      <c r="D10" s="2" t="s">
        <v>354</v>
      </c>
      <c r="E10" s="2" t="s">
        <v>355</v>
      </c>
      <c r="F10" s="2" t="s">
        <v>4</v>
      </c>
      <c r="G10" s="2" t="s">
        <v>356</v>
      </c>
      <c r="H10" s="2" t="s">
        <v>357</v>
      </c>
    </row>
    <row r="11" spans="1:8" x14ac:dyDescent="0.3">
      <c r="A11" t="s">
        <v>29</v>
      </c>
      <c r="B11">
        <v>7.46627323612885</v>
      </c>
      <c r="C11">
        <v>1.83801070133978E-2</v>
      </c>
      <c r="D11">
        <v>406.21489476021299</v>
      </c>
      <c r="E11">
        <v>0</v>
      </c>
      <c r="F11">
        <v>1748.0798503123401</v>
      </c>
      <c r="G11">
        <v>32.129894716705202</v>
      </c>
      <c r="H11" t="s">
        <v>393</v>
      </c>
    </row>
    <row r="12" spans="1:8" x14ac:dyDescent="0.3">
      <c r="A12" t="s">
        <v>28</v>
      </c>
      <c r="B12">
        <v>4.1723200376633498</v>
      </c>
      <c r="C12">
        <v>1.8385645771629499E-2</v>
      </c>
      <c r="D12">
        <v>226.93355944568199</v>
      </c>
      <c r="E12">
        <v>0</v>
      </c>
      <c r="F12">
        <v>64.865768696342499</v>
      </c>
      <c r="G12">
        <v>1.1925990459554101</v>
      </c>
      <c r="H12" t="s">
        <v>395</v>
      </c>
    </row>
    <row r="13" spans="1:8" x14ac:dyDescent="0.3">
      <c r="A13" t="s">
        <v>5</v>
      </c>
      <c r="B13">
        <v>6.5587098547563398</v>
      </c>
      <c r="C13">
        <v>1.82986641894975E-2</v>
      </c>
      <c r="D13">
        <v>358.42560893164602</v>
      </c>
      <c r="E13">
        <v>0</v>
      </c>
      <c r="F13">
        <v>705.36108906085599</v>
      </c>
      <c r="G13">
        <v>12.9071657010628</v>
      </c>
      <c r="H13" t="s">
        <v>498</v>
      </c>
    </row>
    <row r="17" spans="1:20" x14ac:dyDescent="0.3">
      <c r="A17" s="2" t="s">
        <v>1</v>
      </c>
      <c r="B17" s="2" t="s">
        <v>352</v>
      </c>
      <c r="C17" s="2" t="s">
        <v>353</v>
      </c>
      <c r="D17" s="2" t="s">
        <v>354</v>
      </c>
      <c r="E17" s="2" t="s">
        <v>355</v>
      </c>
      <c r="F17" s="2" t="s">
        <v>4</v>
      </c>
      <c r="G17" s="2" t="s">
        <v>356</v>
      </c>
      <c r="H17" s="2" t="s">
        <v>357</v>
      </c>
      <c r="L17" s="2" t="s">
        <v>339</v>
      </c>
      <c r="M17" s="2" t="s">
        <v>1</v>
      </c>
      <c r="N17" s="2" t="s">
        <v>352</v>
      </c>
      <c r="O17" s="2" t="s">
        <v>353</v>
      </c>
      <c r="P17" s="2" t="s">
        <v>354</v>
      </c>
      <c r="Q17" s="2" t="s">
        <v>355</v>
      </c>
      <c r="R17" s="2" t="s">
        <v>4</v>
      </c>
      <c r="S17" s="2" t="s">
        <v>356</v>
      </c>
      <c r="T17" s="2" t="s">
        <v>357</v>
      </c>
    </row>
    <row r="18" spans="1:20" x14ac:dyDescent="0.3">
      <c r="A18" t="s">
        <v>6</v>
      </c>
      <c r="B18">
        <v>6.5999455283715003</v>
      </c>
      <c r="C18">
        <v>4.9689223176010502E-2</v>
      </c>
      <c r="D18">
        <v>132.82448600560701</v>
      </c>
      <c r="E18">
        <v>0</v>
      </c>
      <c r="F18">
        <v>735.05514850046302</v>
      </c>
      <c r="G18">
        <v>36.524319320514998</v>
      </c>
      <c r="H18" t="s">
        <v>499</v>
      </c>
      <c r="L18" t="s">
        <v>29</v>
      </c>
      <c r="M18" t="s">
        <v>6</v>
      </c>
      <c r="N18">
        <v>7.8493325091583204</v>
      </c>
      <c r="O18">
        <v>8.6554174419167698E-2</v>
      </c>
      <c r="P18">
        <v>90.686931760740805</v>
      </c>
      <c r="Q18">
        <v>0</v>
      </c>
      <c r="R18">
        <v>2564.0222841227601</v>
      </c>
      <c r="S18">
        <v>221.92683199459501</v>
      </c>
      <c r="T18" t="s">
        <v>511</v>
      </c>
    </row>
    <row r="19" spans="1:20" x14ac:dyDescent="0.3">
      <c r="A19" t="s">
        <v>7</v>
      </c>
      <c r="B19">
        <v>7.0393391000134198</v>
      </c>
      <c r="C19">
        <v>5.04007213540896E-2</v>
      </c>
      <c r="D19">
        <v>139.66742758617801</v>
      </c>
      <c r="E19">
        <v>0</v>
      </c>
      <c r="F19">
        <v>1140.6335127928101</v>
      </c>
      <c r="G19">
        <v>57.488751845407002</v>
      </c>
      <c r="H19" t="s">
        <v>500</v>
      </c>
      <c r="L19" t="s">
        <v>28</v>
      </c>
      <c r="M19" t="s">
        <v>6</v>
      </c>
      <c r="N19">
        <v>4.3997041618708996</v>
      </c>
      <c r="O19">
        <v>8.5911766506980999E-2</v>
      </c>
      <c r="P19">
        <v>51.211892628390899</v>
      </c>
      <c r="Q19">
        <v>0</v>
      </c>
      <c r="R19">
        <v>81.426775956315097</v>
      </c>
      <c r="S19">
        <v>6.9955181633752002</v>
      </c>
      <c r="T19" t="s">
        <v>512</v>
      </c>
    </row>
    <row r="20" spans="1:20" x14ac:dyDescent="0.3">
      <c r="A20" t="s">
        <v>8</v>
      </c>
      <c r="B20">
        <v>5.3224741285568999</v>
      </c>
      <c r="C20">
        <v>4.9741778362697602E-2</v>
      </c>
      <c r="D20">
        <v>107.002087656527</v>
      </c>
      <c r="E20">
        <v>0</v>
      </c>
      <c r="F20">
        <v>204.890180056958</v>
      </c>
      <c r="G20">
        <v>10.191601925086401</v>
      </c>
      <c r="H20" t="s">
        <v>501</v>
      </c>
      <c r="L20" t="s">
        <v>5</v>
      </c>
      <c r="M20" t="s">
        <v>6</v>
      </c>
      <c r="N20">
        <v>7.55079991408528</v>
      </c>
      <c r="O20">
        <v>8.5724636860030096E-2</v>
      </c>
      <c r="P20">
        <v>88.082028581982996</v>
      </c>
      <c r="Q20">
        <v>0</v>
      </c>
      <c r="R20">
        <v>1902.2637704920801</v>
      </c>
      <c r="S20">
        <v>163.07087093742601</v>
      </c>
      <c r="T20" t="s">
        <v>513</v>
      </c>
    </row>
    <row r="21" spans="1:20" x14ac:dyDescent="0.3">
      <c r="A21" t="s">
        <v>9</v>
      </c>
      <c r="B21">
        <v>5.0189385643742703</v>
      </c>
      <c r="C21">
        <v>4.9633293904192299E-2</v>
      </c>
      <c r="D21">
        <v>101.120400633945</v>
      </c>
      <c r="E21">
        <v>0</v>
      </c>
      <c r="F21">
        <v>151.25067570533599</v>
      </c>
      <c r="G21">
        <v>7.5070692404906101</v>
      </c>
      <c r="H21" t="s">
        <v>502</v>
      </c>
      <c r="L21" t="s">
        <v>29</v>
      </c>
      <c r="M21" t="s">
        <v>7</v>
      </c>
      <c r="N21">
        <v>8.5499379296628</v>
      </c>
      <c r="O21">
        <v>9.0001622461453101E-2</v>
      </c>
      <c r="P21">
        <v>94.997597774691997</v>
      </c>
      <c r="Q21">
        <v>0</v>
      </c>
      <c r="R21">
        <v>5166.43373493933</v>
      </c>
      <c r="S21">
        <v>464.98741848412402</v>
      </c>
      <c r="T21" t="s">
        <v>514</v>
      </c>
    </row>
    <row r="22" spans="1:20" x14ac:dyDescent="0.3">
      <c r="A22" t="s">
        <v>10</v>
      </c>
      <c r="B22">
        <v>5.8070395752550699</v>
      </c>
      <c r="C22">
        <v>4.9578182958101701E-2</v>
      </c>
      <c r="D22">
        <v>117.128931089761</v>
      </c>
      <c r="E22">
        <v>0</v>
      </c>
      <c r="F22">
        <v>332.63293185609001</v>
      </c>
      <c r="G22">
        <v>16.491336353451</v>
      </c>
      <c r="H22" t="s">
        <v>503</v>
      </c>
      <c r="L22" t="s">
        <v>28</v>
      </c>
      <c r="M22" t="s">
        <v>7</v>
      </c>
      <c r="N22">
        <v>4.6581511650237397</v>
      </c>
      <c r="O22">
        <v>8.5984824761412199E-2</v>
      </c>
      <c r="P22">
        <v>54.174107791101797</v>
      </c>
      <c r="Q22">
        <v>0</v>
      </c>
      <c r="R22">
        <v>105.440958904141</v>
      </c>
      <c r="S22">
        <v>9.0663223740478394</v>
      </c>
      <c r="T22" t="s">
        <v>515</v>
      </c>
    </row>
    <row r="23" spans="1:20" x14ac:dyDescent="0.3">
      <c r="A23" t="s">
        <v>11</v>
      </c>
      <c r="B23">
        <v>4.9393205991605003</v>
      </c>
      <c r="C23">
        <v>5.02911701565769E-2</v>
      </c>
      <c r="D23">
        <v>98.214469533764799</v>
      </c>
      <c r="E23">
        <v>0</v>
      </c>
      <c r="F23">
        <v>139.67532178577099</v>
      </c>
      <c r="G23">
        <v>7.0244353746028398</v>
      </c>
      <c r="H23" t="s">
        <v>502</v>
      </c>
      <c r="L23" t="s">
        <v>5</v>
      </c>
      <c r="M23" t="s">
        <v>7</v>
      </c>
      <c r="N23">
        <v>7.9099282053537099</v>
      </c>
      <c r="O23">
        <v>8.5839456441498901E-2</v>
      </c>
      <c r="P23">
        <v>92.147929789658704</v>
      </c>
      <c r="Q23">
        <v>0</v>
      </c>
      <c r="R23">
        <v>2724.1948767121198</v>
      </c>
      <c r="S23">
        <v>233.843407457685</v>
      </c>
      <c r="T23" t="s">
        <v>516</v>
      </c>
    </row>
    <row r="24" spans="1:20" x14ac:dyDescent="0.3">
      <c r="A24" t="s">
        <v>12</v>
      </c>
      <c r="B24">
        <v>5.8760993591299</v>
      </c>
      <c r="C24">
        <v>4.9657553693683798E-2</v>
      </c>
      <c r="D24">
        <v>118.33243730404099</v>
      </c>
      <c r="E24">
        <v>0</v>
      </c>
      <c r="F24">
        <v>356.41627485483002</v>
      </c>
      <c r="G24">
        <v>17.6987603059065</v>
      </c>
      <c r="H24" t="s">
        <v>504</v>
      </c>
      <c r="L24" t="s">
        <v>29</v>
      </c>
      <c r="M24" t="s">
        <v>8</v>
      </c>
      <c r="N24">
        <v>7.1547780149170404</v>
      </c>
      <c r="O24">
        <v>8.5846063647752796E-2</v>
      </c>
      <c r="P24">
        <v>83.344275915490201</v>
      </c>
      <c r="Q24">
        <v>0</v>
      </c>
      <c r="R24">
        <v>1280.2082191781201</v>
      </c>
      <c r="S24">
        <v>109.900836265941</v>
      </c>
      <c r="T24" t="s">
        <v>517</v>
      </c>
    </row>
    <row r="25" spans="1:20" x14ac:dyDescent="0.3">
      <c r="A25" t="s">
        <v>13</v>
      </c>
      <c r="B25">
        <v>5.0669824371786696</v>
      </c>
      <c r="C25">
        <v>4.99610797939984E-2</v>
      </c>
      <c r="D25">
        <v>101.41859339451899</v>
      </c>
      <c r="E25">
        <v>0</v>
      </c>
      <c r="F25">
        <v>158.69473277827899</v>
      </c>
      <c r="G25">
        <v>7.92856020722287</v>
      </c>
      <c r="H25" t="s">
        <v>505</v>
      </c>
      <c r="L25" t="s">
        <v>28</v>
      </c>
      <c r="M25" t="s">
        <v>8</v>
      </c>
      <c r="N25">
        <v>2.86120469018043</v>
      </c>
      <c r="O25">
        <v>8.6741676195268E-2</v>
      </c>
      <c r="P25">
        <v>32.985351628892303</v>
      </c>
      <c r="Q25">
        <v>1.31754371231105E-238</v>
      </c>
      <c r="R25">
        <v>17.4825753424741</v>
      </c>
      <c r="S25">
        <v>1.51646788941627</v>
      </c>
      <c r="T25" t="s">
        <v>518</v>
      </c>
    </row>
    <row r="26" spans="1:20" x14ac:dyDescent="0.3">
      <c r="A26" t="s">
        <v>14</v>
      </c>
      <c r="B26">
        <v>6.0171619729493901</v>
      </c>
      <c r="C26">
        <v>4.9533861123290099E-2</v>
      </c>
      <c r="D26">
        <v>121.47573067184599</v>
      </c>
      <c r="E26">
        <v>0</v>
      </c>
      <c r="F26">
        <v>410.41218048045101</v>
      </c>
      <c r="G26">
        <v>20.329299951225298</v>
      </c>
      <c r="H26" t="s">
        <v>506</v>
      </c>
      <c r="L26" t="s">
        <v>5</v>
      </c>
      <c r="M26" t="s">
        <v>8</v>
      </c>
      <c r="N26">
        <v>5.9514396805732197</v>
      </c>
      <c r="O26">
        <v>8.58751162978722E-2</v>
      </c>
      <c r="P26">
        <v>69.303424986694196</v>
      </c>
      <c r="Q26">
        <v>0</v>
      </c>
      <c r="R26">
        <v>384.30621917815301</v>
      </c>
      <c r="S26">
        <v>33.002341265919497</v>
      </c>
      <c r="T26" t="s">
        <v>519</v>
      </c>
    </row>
    <row r="27" spans="1:20" x14ac:dyDescent="0.3">
      <c r="A27" t="s">
        <v>15</v>
      </c>
      <c r="B27">
        <v>6.5199700696272798</v>
      </c>
      <c r="C27">
        <v>4.9814672916370102E-2</v>
      </c>
      <c r="D27">
        <v>130.88453035861801</v>
      </c>
      <c r="E27">
        <v>0</v>
      </c>
      <c r="F27">
        <v>678.55807553938803</v>
      </c>
      <c r="G27">
        <v>33.8021485877562</v>
      </c>
      <c r="H27" t="s">
        <v>499</v>
      </c>
      <c r="L27" t="s">
        <v>29</v>
      </c>
      <c r="M27" t="s">
        <v>9</v>
      </c>
      <c r="N27">
        <v>4.8733342481710897</v>
      </c>
      <c r="O27">
        <v>8.5955567130227103E-2</v>
      </c>
      <c r="P27">
        <v>56.695969916500403</v>
      </c>
      <c r="Q27">
        <v>0</v>
      </c>
      <c r="R27">
        <v>130.75616438361601</v>
      </c>
      <c r="S27">
        <v>11.2392202653669</v>
      </c>
      <c r="T27" t="s">
        <v>520</v>
      </c>
    </row>
    <row r="28" spans="1:20" x14ac:dyDescent="0.3">
      <c r="A28" t="s">
        <v>16</v>
      </c>
      <c r="B28">
        <v>5.6388605188783902</v>
      </c>
      <c r="C28">
        <v>4.9691037107913699E-2</v>
      </c>
      <c r="D28">
        <v>113.47842281159301</v>
      </c>
      <c r="E28">
        <v>0</v>
      </c>
      <c r="F28">
        <v>281.14217967977697</v>
      </c>
      <c r="G28">
        <v>13.9702464830675</v>
      </c>
      <c r="H28" t="s">
        <v>507</v>
      </c>
      <c r="L28" t="s">
        <v>28</v>
      </c>
      <c r="M28" t="s">
        <v>9</v>
      </c>
      <c r="N28">
        <v>4.1995873997236499</v>
      </c>
      <c r="O28">
        <v>8.6072686188856606E-2</v>
      </c>
      <c r="P28">
        <v>48.791173898176197</v>
      </c>
      <c r="Q28">
        <v>0</v>
      </c>
      <c r="R28">
        <v>66.658821917835198</v>
      </c>
      <c r="S28">
        <v>5.7375038606526996</v>
      </c>
      <c r="T28" t="s">
        <v>521</v>
      </c>
    </row>
    <row r="29" spans="1:20" x14ac:dyDescent="0.3">
      <c r="A29" t="s">
        <v>17</v>
      </c>
      <c r="B29">
        <v>5.5113570390828901</v>
      </c>
      <c r="C29">
        <v>4.9764309258938703E-2</v>
      </c>
      <c r="D29">
        <v>110.749191964177</v>
      </c>
      <c r="E29">
        <v>0</v>
      </c>
      <c r="F29">
        <v>247.486748480616</v>
      </c>
      <c r="G29">
        <v>12.3160070888786</v>
      </c>
      <c r="H29" t="s">
        <v>508</v>
      </c>
      <c r="L29" t="s">
        <v>5</v>
      </c>
      <c r="M29" t="s">
        <v>9</v>
      </c>
      <c r="N29">
        <v>5.9838940452280598</v>
      </c>
      <c r="O29">
        <v>8.5873790795417695E-2</v>
      </c>
      <c r="P29">
        <v>69.682425683103403</v>
      </c>
      <c r="Q29">
        <v>0</v>
      </c>
      <c r="R29">
        <v>396.98323287681097</v>
      </c>
      <c r="S29">
        <v>34.090455089351799</v>
      </c>
      <c r="T29" t="s">
        <v>519</v>
      </c>
    </row>
    <row r="30" spans="1:20" x14ac:dyDescent="0.3">
      <c r="A30" t="s">
        <v>18</v>
      </c>
      <c r="B30">
        <v>6.6936562301363196</v>
      </c>
      <c r="C30">
        <v>4.9555920628885003E-2</v>
      </c>
      <c r="D30">
        <v>135.07278535422299</v>
      </c>
      <c r="E30">
        <v>0</v>
      </c>
      <c r="F30">
        <v>807.26842205715502</v>
      </c>
      <c r="G30">
        <v>40.004929849669601</v>
      </c>
      <c r="H30" t="s">
        <v>499</v>
      </c>
      <c r="L30" t="s">
        <v>29</v>
      </c>
      <c r="M30" t="s">
        <v>10</v>
      </c>
      <c r="N30">
        <v>7.1548245221957103</v>
      </c>
      <c r="O30">
        <v>8.5728706809435201E-2</v>
      </c>
      <c r="P30">
        <v>83.458911121802402</v>
      </c>
      <c r="Q30">
        <v>0</v>
      </c>
      <c r="R30">
        <v>1280.26775956305</v>
      </c>
      <c r="S30">
        <v>109.75569939715299</v>
      </c>
      <c r="T30" t="s">
        <v>517</v>
      </c>
    </row>
    <row r="31" spans="1:20" x14ac:dyDescent="0.3">
      <c r="A31" t="s">
        <v>19</v>
      </c>
      <c r="B31">
        <v>6.9673615054679896</v>
      </c>
      <c r="C31">
        <v>4.9574558989733099E-2</v>
      </c>
      <c r="D31">
        <v>140.54308595888699</v>
      </c>
      <c r="E31">
        <v>0</v>
      </c>
      <c r="F31">
        <v>1061.4185057490799</v>
      </c>
      <c r="G31">
        <v>52.619354326052097</v>
      </c>
      <c r="H31" t="s">
        <v>500</v>
      </c>
      <c r="L31" t="s">
        <v>28</v>
      </c>
      <c r="M31" t="s">
        <v>10</v>
      </c>
      <c r="N31">
        <v>3.6018658416528999</v>
      </c>
      <c r="O31">
        <v>8.6149828030408701E-2</v>
      </c>
      <c r="P31">
        <v>41.809321318453897</v>
      </c>
      <c r="Q31">
        <v>0</v>
      </c>
      <c r="R31">
        <v>36.666584699473297</v>
      </c>
      <c r="S31">
        <v>3.15881996632204</v>
      </c>
      <c r="T31" t="s">
        <v>522</v>
      </c>
    </row>
    <row r="32" spans="1:20" x14ac:dyDescent="0.3">
      <c r="A32" t="s">
        <v>20</v>
      </c>
      <c r="B32">
        <v>6.61222271464709</v>
      </c>
      <c r="C32">
        <v>4.9575806795162401E-2</v>
      </c>
      <c r="D32">
        <v>133.375998134887</v>
      </c>
      <c r="E32">
        <v>0</v>
      </c>
      <c r="F32">
        <v>744.13518206117203</v>
      </c>
      <c r="G32">
        <v>36.891102015347698</v>
      </c>
      <c r="H32" t="s">
        <v>499</v>
      </c>
      <c r="L32" t="s">
        <v>5</v>
      </c>
      <c r="M32" t="s">
        <v>10</v>
      </c>
      <c r="N32">
        <v>6.6644283619165998</v>
      </c>
      <c r="O32">
        <v>8.5736584886252104E-2</v>
      </c>
      <c r="P32">
        <v>77.731441843157</v>
      </c>
      <c r="Q32">
        <v>0</v>
      </c>
      <c r="R32">
        <v>784.01516393454096</v>
      </c>
      <c r="S32">
        <v>67.2187826547827</v>
      </c>
      <c r="T32" t="s">
        <v>523</v>
      </c>
    </row>
    <row r="33" spans="1:20" x14ac:dyDescent="0.3">
      <c r="A33" t="s">
        <v>21</v>
      </c>
      <c r="B33">
        <v>6.04809115600984</v>
      </c>
      <c r="C33">
        <v>4.95867118088597E-2</v>
      </c>
      <c r="D33">
        <v>121.969998319776</v>
      </c>
      <c r="E33">
        <v>0</v>
      </c>
      <c r="F33">
        <v>423.30423661203997</v>
      </c>
      <c r="G33">
        <v>20.990265188350602</v>
      </c>
      <c r="H33" t="s">
        <v>506</v>
      </c>
      <c r="L33" t="s">
        <v>29</v>
      </c>
      <c r="M33" t="s">
        <v>11</v>
      </c>
      <c r="N33">
        <v>7.0484693814899</v>
      </c>
      <c r="O33">
        <v>8.6925839173542796E-2</v>
      </c>
      <c r="P33">
        <v>81.086009045227698</v>
      </c>
      <c r="Q33">
        <v>0</v>
      </c>
      <c r="R33">
        <v>1151.0955056181199</v>
      </c>
      <c r="S33">
        <v>100.059942794748</v>
      </c>
      <c r="T33" t="s">
        <v>524</v>
      </c>
    </row>
    <row r="34" spans="1:20" x14ac:dyDescent="0.3">
      <c r="A34" t="s">
        <v>22</v>
      </c>
      <c r="B34">
        <v>6.7046929913414104</v>
      </c>
      <c r="C34">
        <v>4.95054033254839E-2</v>
      </c>
      <c r="D34">
        <v>135.43355959065701</v>
      </c>
      <c r="E34">
        <v>0</v>
      </c>
      <c r="F34">
        <v>816.22739896322003</v>
      </c>
      <c r="G34">
        <v>40.407666590984903</v>
      </c>
      <c r="H34" t="s">
        <v>499</v>
      </c>
      <c r="L34" t="s">
        <v>28</v>
      </c>
      <c r="M34" t="s">
        <v>11</v>
      </c>
      <c r="N34">
        <v>1.7733955325480699</v>
      </c>
      <c r="O34">
        <v>8.8501358206178798E-2</v>
      </c>
      <c r="P34">
        <v>20.038060076057199</v>
      </c>
      <c r="Q34">
        <v>2.5657413350997899E-89</v>
      </c>
      <c r="R34">
        <v>5.8908219178119197</v>
      </c>
      <c r="S34">
        <v>0.52134574067708195</v>
      </c>
      <c r="T34" t="s">
        <v>525</v>
      </c>
    </row>
    <row r="35" spans="1:20" x14ac:dyDescent="0.3">
      <c r="A35" t="s">
        <v>23</v>
      </c>
      <c r="B35">
        <v>6.1271174627122802</v>
      </c>
      <c r="C35">
        <v>4.9590047497483997E-2</v>
      </c>
      <c r="D35">
        <v>123.555386048443</v>
      </c>
      <c r="E35">
        <v>0</v>
      </c>
      <c r="F35">
        <v>458.11372571517302</v>
      </c>
      <c r="G35">
        <v>22.717881417464799</v>
      </c>
      <c r="H35" t="s">
        <v>509</v>
      </c>
      <c r="L35" t="s">
        <v>5</v>
      </c>
      <c r="M35" t="s">
        <v>11</v>
      </c>
      <c r="N35">
        <v>5.9960968834435304</v>
      </c>
      <c r="O35">
        <v>8.5873303424840494E-2</v>
      </c>
      <c r="P35">
        <v>69.824923978748998</v>
      </c>
      <c r="Q35">
        <v>0</v>
      </c>
      <c r="R35">
        <v>401.85723287676399</v>
      </c>
      <c r="S35">
        <v>34.508808092293101</v>
      </c>
      <c r="T35" t="s">
        <v>519</v>
      </c>
    </row>
    <row r="36" spans="1:20" x14ac:dyDescent="0.3">
      <c r="A36" t="s">
        <v>24</v>
      </c>
      <c r="B36">
        <v>6.1699014040223803</v>
      </c>
      <c r="C36">
        <v>4.9634309918308799E-2</v>
      </c>
      <c r="D36">
        <v>124.30718618184</v>
      </c>
      <c r="E36">
        <v>0</v>
      </c>
      <c r="F36">
        <v>478.138961186833</v>
      </c>
      <c r="G36">
        <v>23.732097383565499</v>
      </c>
      <c r="H36" t="s">
        <v>510</v>
      </c>
      <c r="L36" t="s">
        <v>29</v>
      </c>
      <c r="M36" t="s">
        <v>12</v>
      </c>
      <c r="N36">
        <v>7.6021400495759996</v>
      </c>
      <c r="O36">
        <v>8.5841567726327797E-2</v>
      </c>
      <c r="P36">
        <v>88.5601259498481</v>
      </c>
      <c r="Q36">
        <v>0</v>
      </c>
      <c r="R36">
        <v>2002.4767123289701</v>
      </c>
      <c r="S36">
        <v>171.89574032178101</v>
      </c>
      <c r="T36" t="s">
        <v>526</v>
      </c>
    </row>
    <row r="37" spans="1:20" x14ac:dyDescent="0.3">
      <c r="A37" t="s">
        <v>25</v>
      </c>
      <c r="B37">
        <v>6.1173392791153098</v>
      </c>
      <c r="C37">
        <v>4.9591090856486802E-2</v>
      </c>
      <c r="D37">
        <v>123.355610321589</v>
      </c>
      <c r="E37">
        <v>0</v>
      </c>
      <c r="F37">
        <v>453.65603517277202</v>
      </c>
      <c r="G37">
        <v>22.497297657846499</v>
      </c>
      <c r="H37" t="s">
        <v>509</v>
      </c>
      <c r="L37" t="s">
        <v>28</v>
      </c>
      <c r="M37" t="s">
        <v>12</v>
      </c>
      <c r="N37">
        <v>3.4685307948181601</v>
      </c>
      <c r="O37">
        <v>8.6329508655613299E-2</v>
      </c>
      <c r="P37">
        <v>40.177812301178101</v>
      </c>
      <c r="Q37">
        <v>0</v>
      </c>
      <c r="R37">
        <v>32.089561643851397</v>
      </c>
      <c r="S37">
        <v>2.7702760896877101</v>
      </c>
      <c r="T37" t="s">
        <v>522</v>
      </c>
    </row>
    <row r="38" spans="1:20" x14ac:dyDescent="0.3">
      <c r="A38" t="s">
        <v>26</v>
      </c>
      <c r="B38">
        <v>6.6199262876724498</v>
      </c>
      <c r="C38">
        <v>4.95111633937311E-2</v>
      </c>
      <c r="D38">
        <v>133.705730867771</v>
      </c>
      <c r="E38">
        <v>0</v>
      </c>
      <c r="F38">
        <v>749.88981895060704</v>
      </c>
      <c r="G38">
        <v>37.127917353359003</v>
      </c>
      <c r="H38" t="s">
        <v>499</v>
      </c>
      <c r="L38" t="s">
        <v>5</v>
      </c>
      <c r="M38" t="s">
        <v>12</v>
      </c>
      <c r="N38">
        <v>6.5576272329955403</v>
      </c>
      <c r="O38">
        <v>8.5856245754966004E-2</v>
      </c>
      <c r="P38">
        <v>76.3791518640476</v>
      </c>
      <c r="Q38">
        <v>0</v>
      </c>
      <c r="R38">
        <v>704.59786301373003</v>
      </c>
      <c r="S38">
        <v>60.494127285330599</v>
      </c>
      <c r="T38" t="s">
        <v>527</v>
      </c>
    </row>
    <row r="39" spans="1:20" x14ac:dyDescent="0.3">
      <c r="A39" t="s">
        <v>27</v>
      </c>
      <c r="B39">
        <v>6.02909168565267</v>
      </c>
      <c r="C39">
        <v>4.9620181693074403E-2</v>
      </c>
      <c r="D39">
        <v>121.504828880829</v>
      </c>
      <c r="E39">
        <v>0</v>
      </c>
      <c r="F39">
        <v>415.33760089420298</v>
      </c>
      <c r="G39">
        <v>20.609127220335999</v>
      </c>
      <c r="H39" t="s">
        <v>506</v>
      </c>
      <c r="L39" t="s">
        <v>29</v>
      </c>
      <c r="M39" t="s">
        <v>13</v>
      </c>
      <c r="N39">
        <v>6.6383739946139402</v>
      </c>
      <c r="O39">
        <v>8.6689785282045406E-2</v>
      </c>
      <c r="P39">
        <v>76.576196065268604</v>
      </c>
      <c r="Q39">
        <v>0</v>
      </c>
      <c r="R39">
        <v>763.85195530742305</v>
      </c>
      <c r="S39">
        <v>66.218161992871103</v>
      </c>
      <c r="T39" t="s">
        <v>527</v>
      </c>
    </row>
    <row r="40" spans="1:20" x14ac:dyDescent="0.3">
      <c r="L40" t="s">
        <v>28</v>
      </c>
      <c r="M40" t="s">
        <v>13</v>
      </c>
      <c r="N40">
        <v>2.5772985031886599</v>
      </c>
      <c r="O40">
        <v>8.7037739816874696E-2</v>
      </c>
      <c r="P40">
        <v>29.611275621485898</v>
      </c>
      <c r="Q40">
        <v>1.06975759173413E-192</v>
      </c>
      <c r="R40">
        <v>13.161534246583299</v>
      </c>
      <c r="S40">
        <v>1.1455501933450101</v>
      </c>
      <c r="T40" t="s">
        <v>528</v>
      </c>
    </row>
    <row r="41" spans="1:20" x14ac:dyDescent="0.3">
      <c r="L41" t="s">
        <v>5</v>
      </c>
      <c r="M41" t="s">
        <v>13</v>
      </c>
      <c r="N41">
        <v>5.9852748137334002</v>
      </c>
      <c r="O41">
        <v>8.5873735350010805E-2</v>
      </c>
      <c r="P41">
        <v>69.698549729299103</v>
      </c>
      <c r="Q41">
        <v>0</v>
      </c>
      <c r="R41">
        <v>397.53175342471701</v>
      </c>
      <c r="S41">
        <v>34.137536586819898</v>
      </c>
      <c r="T41" t="s">
        <v>519</v>
      </c>
    </row>
    <row r="42" spans="1:20" x14ac:dyDescent="0.3">
      <c r="L42" t="s">
        <v>29</v>
      </c>
      <c r="M42" t="s">
        <v>14</v>
      </c>
      <c r="N42">
        <v>7.26234690678326</v>
      </c>
      <c r="O42">
        <v>8.5727437916608806E-2</v>
      </c>
      <c r="P42">
        <v>84.714381804431099</v>
      </c>
      <c r="Q42">
        <v>0</v>
      </c>
      <c r="R42">
        <v>1425.5983606560601</v>
      </c>
      <c r="S42">
        <v>122.212894957161</v>
      </c>
      <c r="T42" t="s">
        <v>529</v>
      </c>
    </row>
    <row r="43" spans="1:20" x14ac:dyDescent="0.3">
      <c r="A43" s="2" t="s">
        <v>339</v>
      </c>
      <c r="B43" s="2" t="s">
        <v>352</v>
      </c>
      <c r="C43" s="2" t="s">
        <v>357</v>
      </c>
      <c r="F43" s="2" t="s">
        <v>339</v>
      </c>
      <c r="G43" s="2" t="s">
        <v>1</v>
      </c>
      <c r="H43" s="2" t="s">
        <v>352</v>
      </c>
      <c r="I43" s="2" t="s">
        <v>357</v>
      </c>
      <c r="L43" t="s">
        <v>28</v>
      </c>
      <c r="M43" t="s">
        <v>14</v>
      </c>
      <c r="N43">
        <v>4.3812763532838099</v>
      </c>
      <c r="O43">
        <v>8.5915398469927101E-2</v>
      </c>
      <c r="P43">
        <v>50.995239867477103</v>
      </c>
      <c r="Q43">
        <v>0</v>
      </c>
      <c r="R43">
        <v>79.940000000050205</v>
      </c>
      <c r="S43">
        <v>6.8680769536902897</v>
      </c>
      <c r="T43" t="s">
        <v>512</v>
      </c>
    </row>
    <row r="44" spans="1:20" x14ac:dyDescent="0.3">
      <c r="A44" t="s">
        <v>29</v>
      </c>
      <c r="B44">
        <v>7.46627323612885</v>
      </c>
      <c r="C44" t="s">
        <v>393</v>
      </c>
      <c r="F44" t="s">
        <v>29</v>
      </c>
      <c r="G44" t="s">
        <v>7</v>
      </c>
      <c r="H44">
        <v>8.5499379296628</v>
      </c>
      <c r="I44" t="s">
        <v>514</v>
      </c>
      <c r="L44" t="s">
        <v>5</v>
      </c>
      <c r="M44" t="s">
        <v>14</v>
      </c>
      <c r="N44">
        <v>6.4078626587811103</v>
      </c>
      <c r="O44">
        <v>8.5742528969252899E-2</v>
      </c>
      <c r="P44">
        <v>74.733772560860203</v>
      </c>
      <c r="Q44">
        <v>0</v>
      </c>
      <c r="R44">
        <v>606.59579234984596</v>
      </c>
      <c r="S44">
        <v>52.011057298183601</v>
      </c>
      <c r="T44" t="s">
        <v>530</v>
      </c>
    </row>
    <row r="45" spans="1:20" x14ac:dyDescent="0.3">
      <c r="A45" t="s">
        <v>5</v>
      </c>
      <c r="B45">
        <v>6.5587098547563398</v>
      </c>
      <c r="C45" t="s">
        <v>498</v>
      </c>
      <c r="F45" t="s">
        <v>29</v>
      </c>
      <c r="G45" t="s">
        <v>18</v>
      </c>
      <c r="H45">
        <v>8.2864930788813194</v>
      </c>
      <c r="I45" t="s">
        <v>537</v>
      </c>
      <c r="L45" t="s">
        <v>29</v>
      </c>
      <c r="M45" t="s">
        <v>15</v>
      </c>
      <c r="N45">
        <v>8.1592517957858597</v>
      </c>
      <c r="O45">
        <v>8.6916424380049206E-2</v>
      </c>
      <c r="P45">
        <v>93.874683110626606</v>
      </c>
      <c r="Q45">
        <v>0</v>
      </c>
      <c r="R45">
        <v>3495.57022471953</v>
      </c>
      <c r="S45">
        <v>303.82246510198701</v>
      </c>
      <c r="T45" t="s">
        <v>531</v>
      </c>
    </row>
    <row r="46" spans="1:20" x14ac:dyDescent="0.3">
      <c r="A46" t="s">
        <v>28</v>
      </c>
      <c r="B46">
        <v>4.1723200376633498</v>
      </c>
      <c r="C46" t="s">
        <v>395</v>
      </c>
      <c r="F46" t="s">
        <v>29</v>
      </c>
      <c r="G46" t="s">
        <v>19</v>
      </c>
      <c r="H46">
        <v>8.1763254126479996</v>
      </c>
      <c r="I46" t="s">
        <v>538</v>
      </c>
      <c r="L46" t="s">
        <v>28</v>
      </c>
      <c r="M46" t="s">
        <v>15</v>
      </c>
      <c r="N46">
        <v>4.1720317053179503</v>
      </c>
      <c r="O46">
        <v>8.6079356499572601E-2</v>
      </c>
      <c r="P46">
        <v>48.467273397178097</v>
      </c>
      <c r="Q46">
        <v>0</v>
      </c>
      <c r="R46">
        <v>64.847068493184395</v>
      </c>
      <c r="S46">
        <v>5.5819939267770202</v>
      </c>
      <c r="T46" t="s">
        <v>521</v>
      </c>
    </row>
    <row r="47" spans="1:20" x14ac:dyDescent="0.3">
      <c r="F47" t="s">
        <v>29</v>
      </c>
      <c r="G47" t="s">
        <v>15</v>
      </c>
      <c r="H47">
        <v>8.1592517957858597</v>
      </c>
      <c r="I47" t="s">
        <v>531</v>
      </c>
      <c r="L47" t="s">
        <v>5</v>
      </c>
      <c r="M47" t="s">
        <v>15</v>
      </c>
      <c r="N47">
        <v>7.2286267077780098</v>
      </c>
      <c r="O47">
        <v>8.5845176320459696E-2</v>
      </c>
      <c r="P47">
        <v>84.205391818330995</v>
      </c>
      <c r="Q47">
        <v>0</v>
      </c>
      <c r="R47">
        <v>1378.3283561645701</v>
      </c>
      <c r="S47">
        <v>118.322840762437</v>
      </c>
      <c r="T47" t="s">
        <v>532</v>
      </c>
    </row>
    <row r="48" spans="1:20" x14ac:dyDescent="0.3">
      <c r="F48" t="s">
        <v>29</v>
      </c>
      <c r="G48" t="s">
        <v>26</v>
      </c>
      <c r="H48">
        <v>8.0041264425396204</v>
      </c>
      <c r="I48" t="s">
        <v>551</v>
      </c>
      <c r="L48" t="s">
        <v>29</v>
      </c>
      <c r="M48" t="s">
        <v>16</v>
      </c>
      <c r="N48">
        <v>7.1667431821579104</v>
      </c>
      <c r="O48">
        <v>8.5963754731418901E-2</v>
      </c>
      <c r="P48">
        <v>83.369359616146795</v>
      </c>
      <c r="Q48">
        <v>0</v>
      </c>
      <c r="R48">
        <v>1295.6181318684401</v>
      </c>
      <c r="S48">
        <v>111.376199313518</v>
      </c>
      <c r="T48" t="s">
        <v>517</v>
      </c>
    </row>
    <row r="49" spans="1:20" x14ac:dyDescent="0.3">
      <c r="A49" s="2" t="s">
        <v>1</v>
      </c>
      <c r="B49" s="2" t="s">
        <v>352</v>
      </c>
      <c r="C49" s="2" t="s">
        <v>357</v>
      </c>
      <c r="F49" t="s">
        <v>5</v>
      </c>
      <c r="G49" t="s">
        <v>7</v>
      </c>
      <c r="H49">
        <v>7.9099282053537099</v>
      </c>
      <c r="I49" t="s">
        <v>516</v>
      </c>
      <c r="L49" t="s">
        <v>28</v>
      </c>
      <c r="M49" t="s">
        <v>16</v>
      </c>
      <c r="N49">
        <v>3.3772957347152701</v>
      </c>
      <c r="O49">
        <v>8.6376732260648806E-2</v>
      </c>
      <c r="P49">
        <v>39.099600625363003</v>
      </c>
      <c r="Q49">
        <v>0</v>
      </c>
      <c r="R49">
        <v>29.291452054809</v>
      </c>
      <c r="S49">
        <v>2.53009991166387</v>
      </c>
      <c r="T49" t="s">
        <v>533</v>
      </c>
    </row>
    <row r="50" spans="1:20" x14ac:dyDescent="0.3">
      <c r="A50" t="s">
        <v>7</v>
      </c>
      <c r="B50">
        <v>7.0393391000134198</v>
      </c>
      <c r="C50" t="s">
        <v>500</v>
      </c>
      <c r="F50" t="s">
        <v>29</v>
      </c>
      <c r="G50" t="s">
        <v>6</v>
      </c>
      <c r="H50">
        <v>7.8493325091583204</v>
      </c>
      <c r="I50" t="s">
        <v>511</v>
      </c>
      <c r="L50" t="s">
        <v>5</v>
      </c>
      <c r="M50" t="s">
        <v>16</v>
      </c>
      <c r="N50">
        <v>6.3725426397619902</v>
      </c>
      <c r="O50">
        <v>8.5860849729035599E-2</v>
      </c>
      <c r="P50">
        <v>74.219422005172504</v>
      </c>
      <c r="Q50">
        <v>0</v>
      </c>
      <c r="R50">
        <v>585.54476712338396</v>
      </c>
      <c r="S50">
        <v>50.2753712596041</v>
      </c>
      <c r="T50" t="s">
        <v>534</v>
      </c>
    </row>
    <row r="51" spans="1:20" x14ac:dyDescent="0.3">
      <c r="A51" t="s">
        <v>19</v>
      </c>
      <c r="B51">
        <v>6.9673615054679896</v>
      </c>
      <c r="C51" t="s">
        <v>500</v>
      </c>
      <c r="F51" t="s">
        <v>29</v>
      </c>
      <c r="G51" t="s">
        <v>25</v>
      </c>
      <c r="H51">
        <v>7.7283747795795197</v>
      </c>
      <c r="I51" t="s">
        <v>541</v>
      </c>
      <c r="L51" t="s">
        <v>29</v>
      </c>
      <c r="M51" t="s">
        <v>17</v>
      </c>
      <c r="N51">
        <v>7.3557583878815702</v>
      </c>
      <c r="O51">
        <v>8.5843794180657199E-2</v>
      </c>
      <c r="P51">
        <v>85.687712875335706</v>
      </c>
      <c r="Q51">
        <v>0</v>
      </c>
      <c r="R51">
        <v>1565.1835616442399</v>
      </c>
      <c r="S51">
        <v>134.36129552073601</v>
      </c>
      <c r="T51" t="s">
        <v>535</v>
      </c>
    </row>
    <row r="52" spans="1:20" x14ac:dyDescent="0.3">
      <c r="A52" t="s">
        <v>22</v>
      </c>
      <c r="B52">
        <v>6.7046929913414104</v>
      </c>
      <c r="C52" t="s">
        <v>499</v>
      </c>
      <c r="F52" t="s">
        <v>29</v>
      </c>
      <c r="G52" t="s">
        <v>22</v>
      </c>
      <c r="H52">
        <v>7.70908399238672</v>
      </c>
      <c r="I52" t="s">
        <v>541</v>
      </c>
      <c r="L52" t="s">
        <v>28</v>
      </c>
      <c r="M52" t="s">
        <v>17</v>
      </c>
      <c r="N52">
        <v>2.7220737838314402</v>
      </c>
      <c r="O52">
        <v>8.6876414739025007E-2</v>
      </c>
      <c r="P52">
        <v>31.332713165114999</v>
      </c>
      <c r="Q52">
        <v>1.6734172225220701E-215</v>
      </c>
      <c r="R52">
        <v>15.2118356164478</v>
      </c>
      <c r="S52">
        <v>1.32154973995639</v>
      </c>
      <c r="T52" t="s">
        <v>528</v>
      </c>
    </row>
    <row r="53" spans="1:20" x14ac:dyDescent="0.3">
      <c r="A53" t="s">
        <v>18</v>
      </c>
      <c r="B53">
        <v>6.6936562301363196</v>
      </c>
      <c r="C53" t="s">
        <v>499</v>
      </c>
      <c r="F53" t="s">
        <v>29</v>
      </c>
      <c r="G53" t="s">
        <v>20</v>
      </c>
      <c r="H53">
        <v>7.6903874868633402</v>
      </c>
      <c r="I53" t="s">
        <v>541</v>
      </c>
      <c r="L53" t="s">
        <v>5</v>
      </c>
      <c r="M53" t="s">
        <v>17</v>
      </c>
      <c r="N53">
        <v>6.4562389455356604</v>
      </c>
      <c r="O53">
        <v>8.5858662037897396E-2</v>
      </c>
      <c r="P53">
        <v>75.1961280585286</v>
      </c>
      <c r="Q53">
        <v>0</v>
      </c>
      <c r="R53">
        <v>636.66202739740504</v>
      </c>
      <c r="S53">
        <v>54.662949842676397</v>
      </c>
      <c r="T53" t="s">
        <v>536</v>
      </c>
    </row>
    <row r="54" spans="1:20" x14ac:dyDescent="0.3">
      <c r="A54" t="s">
        <v>26</v>
      </c>
      <c r="B54">
        <v>6.6199262876724498</v>
      </c>
      <c r="C54" t="s">
        <v>499</v>
      </c>
      <c r="F54" t="s">
        <v>29</v>
      </c>
      <c r="G54" t="s">
        <v>24</v>
      </c>
      <c r="H54">
        <v>7.6577409568944796</v>
      </c>
      <c r="I54" t="s">
        <v>549</v>
      </c>
      <c r="L54" t="s">
        <v>29</v>
      </c>
      <c r="M54" t="s">
        <v>18</v>
      </c>
      <c r="N54">
        <v>8.2864930788813194</v>
      </c>
      <c r="O54">
        <v>8.5837618255758905E-2</v>
      </c>
      <c r="P54">
        <v>96.536847681294702</v>
      </c>
      <c r="Q54">
        <v>0</v>
      </c>
      <c r="R54">
        <v>3969.8876712335</v>
      </c>
      <c r="S54">
        <v>340.76570244158501</v>
      </c>
      <c r="T54" t="s">
        <v>537</v>
      </c>
    </row>
    <row r="55" spans="1:20" x14ac:dyDescent="0.3">
      <c r="A55" t="s">
        <v>20</v>
      </c>
      <c r="B55">
        <v>6.61222271464709</v>
      </c>
      <c r="C55" t="s">
        <v>499</v>
      </c>
      <c r="F55" t="s">
        <v>29</v>
      </c>
      <c r="G55" t="s">
        <v>23</v>
      </c>
      <c r="H55">
        <v>7.6055246375124197</v>
      </c>
      <c r="I55" t="s">
        <v>526</v>
      </c>
      <c r="L55" t="s">
        <v>28</v>
      </c>
      <c r="M55" t="s">
        <v>18</v>
      </c>
      <c r="N55">
        <v>4.2761085106371697</v>
      </c>
      <c r="O55">
        <v>8.5937454026502894E-2</v>
      </c>
      <c r="P55">
        <v>49.758380197281902</v>
      </c>
      <c r="Q55">
        <v>0</v>
      </c>
      <c r="R55">
        <v>71.959863388015407</v>
      </c>
      <c r="S55">
        <v>6.1840474516609998</v>
      </c>
      <c r="T55" t="s">
        <v>521</v>
      </c>
    </row>
    <row r="56" spans="1:20" x14ac:dyDescent="0.3">
      <c r="A56" t="s">
        <v>6</v>
      </c>
      <c r="B56">
        <v>6.5999455283715003</v>
      </c>
      <c r="C56" t="s">
        <v>499</v>
      </c>
      <c r="F56" t="s">
        <v>29</v>
      </c>
      <c r="G56" t="s">
        <v>12</v>
      </c>
      <c r="H56">
        <v>7.6021400495759996</v>
      </c>
      <c r="I56" t="s">
        <v>526</v>
      </c>
      <c r="L56" t="s">
        <v>5</v>
      </c>
      <c r="M56" t="s">
        <v>18</v>
      </c>
      <c r="N56">
        <v>7.51836710089046</v>
      </c>
      <c r="O56">
        <v>8.5724913018381393E-2</v>
      </c>
      <c r="P56">
        <v>87.703408917759504</v>
      </c>
      <c r="Q56">
        <v>0</v>
      </c>
      <c r="R56">
        <v>1841.5577595631501</v>
      </c>
      <c r="S56">
        <v>157.86737875687601</v>
      </c>
      <c r="T56" t="s">
        <v>513</v>
      </c>
    </row>
    <row r="57" spans="1:20" x14ac:dyDescent="0.3">
      <c r="A57" t="s">
        <v>15</v>
      </c>
      <c r="B57">
        <v>6.5199700696272798</v>
      </c>
      <c r="C57" t="s">
        <v>499</v>
      </c>
      <c r="F57" t="s">
        <v>5</v>
      </c>
      <c r="G57" t="s">
        <v>6</v>
      </c>
      <c r="H57">
        <v>7.55079991408528</v>
      </c>
      <c r="I57" t="s">
        <v>513</v>
      </c>
      <c r="L57" t="s">
        <v>29</v>
      </c>
      <c r="M57" t="s">
        <v>19</v>
      </c>
      <c r="N57">
        <v>8.1763254126479996</v>
      </c>
      <c r="O57">
        <v>8.5838086439609204E-2</v>
      </c>
      <c r="P57">
        <v>95.252885424005797</v>
      </c>
      <c r="Q57">
        <v>0</v>
      </c>
      <c r="R57">
        <v>3555.7646575345402</v>
      </c>
      <c r="S57">
        <v>305.22003403235698</v>
      </c>
      <c r="T57" t="s">
        <v>538</v>
      </c>
    </row>
    <row r="58" spans="1:20" x14ac:dyDescent="0.3">
      <c r="A58" t="s">
        <v>24</v>
      </c>
      <c r="B58">
        <v>6.1699014040223803</v>
      </c>
      <c r="C58" t="s">
        <v>510</v>
      </c>
      <c r="F58" t="s">
        <v>5</v>
      </c>
      <c r="G58" t="s">
        <v>18</v>
      </c>
      <c r="H58">
        <v>7.51836710089046</v>
      </c>
      <c r="I58" t="s">
        <v>513</v>
      </c>
      <c r="L58" t="s">
        <v>28</v>
      </c>
      <c r="M58" t="s">
        <v>19</v>
      </c>
      <c r="N58">
        <v>5.2647472667857</v>
      </c>
      <c r="O58">
        <v>8.5916080459066693E-2</v>
      </c>
      <c r="P58">
        <v>61.277786866615799</v>
      </c>
      <c r="Q58">
        <v>0</v>
      </c>
      <c r="R58">
        <v>193.397424657589</v>
      </c>
      <c r="S58">
        <v>16.6159486974577</v>
      </c>
      <c r="T58" t="s">
        <v>539</v>
      </c>
    </row>
    <row r="59" spans="1:20" x14ac:dyDescent="0.3">
      <c r="A59" t="s">
        <v>23</v>
      </c>
      <c r="B59">
        <v>6.1271174627122802</v>
      </c>
      <c r="C59" t="s">
        <v>509</v>
      </c>
      <c r="F59" t="s">
        <v>5</v>
      </c>
      <c r="G59" t="s">
        <v>19</v>
      </c>
      <c r="H59">
        <v>7.4610118369702896</v>
      </c>
      <c r="I59" t="s">
        <v>540</v>
      </c>
      <c r="L59" t="s">
        <v>5</v>
      </c>
      <c r="M59" t="s">
        <v>19</v>
      </c>
      <c r="N59">
        <v>7.4610118369702896</v>
      </c>
      <c r="O59">
        <v>8.5842775620181902E-2</v>
      </c>
      <c r="P59">
        <v>86.914848489779999</v>
      </c>
      <c r="Q59">
        <v>0</v>
      </c>
      <c r="R59">
        <v>1738.90665753444</v>
      </c>
      <c r="S59">
        <v>149.27257402717001</v>
      </c>
      <c r="T59" t="s">
        <v>540</v>
      </c>
    </row>
    <row r="60" spans="1:20" x14ac:dyDescent="0.3">
      <c r="A60" t="s">
        <v>25</v>
      </c>
      <c r="B60">
        <v>6.1173392791153098</v>
      </c>
      <c r="C60" t="s">
        <v>509</v>
      </c>
      <c r="F60" t="s">
        <v>29</v>
      </c>
      <c r="G60" t="s">
        <v>17</v>
      </c>
      <c r="H60">
        <v>7.3557583878815702</v>
      </c>
      <c r="I60" t="s">
        <v>535</v>
      </c>
      <c r="L60" t="s">
        <v>29</v>
      </c>
      <c r="M60" t="s">
        <v>20</v>
      </c>
      <c r="N60">
        <v>7.6903874868633402</v>
      </c>
      <c r="O60">
        <v>8.5840894603928602E-2</v>
      </c>
      <c r="P60">
        <v>89.588855315953097</v>
      </c>
      <c r="Q60">
        <v>0</v>
      </c>
      <c r="R60">
        <v>2187.2219178084101</v>
      </c>
      <c r="S60">
        <v>187.75308612199399</v>
      </c>
      <c r="T60" t="s">
        <v>541</v>
      </c>
    </row>
    <row r="61" spans="1:20" x14ac:dyDescent="0.3">
      <c r="A61" t="s">
        <v>21</v>
      </c>
      <c r="B61">
        <v>6.04809115600984</v>
      </c>
      <c r="C61" t="s">
        <v>506</v>
      </c>
      <c r="F61" t="s">
        <v>29</v>
      </c>
      <c r="G61" t="s">
        <v>27</v>
      </c>
      <c r="H61">
        <v>7.3438028836780802</v>
      </c>
      <c r="I61" t="s">
        <v>535</v>
      </c>
      <c r="L61" t="s">
        <v>28</v>
      </c>
      <c r="M61" t="s">
        <v>20</v>
      </c>
      <c r="N61">
        <v>5.3203708833486596</v>
      </c>
      <c r="O61">
        <v>8.5911619790407401E-2</v>
      </c>
      <c r="P61">
        <v>61.928420117423002</v>
      </c>
      <c r="Q61">
        <v>0</v>
      </c>
      <c r="R61">
        <v>204.45969863022901</v>
      </c>
      <c r="S61">
        <v>17.565463891181501</v>
      </c>
      <c r="T61" t="s">
        <v>542</v>
      </c>
    </row>
    <row r="62" spans="1:20" x14ac:dyDescent="0.3">
      <c r="A62" t="s">
        <v>27</v>
      </c>
      <c r="B62">
        <v>6.02909168565267</v>
      </c>
      <c r="C62" t="s">
        <v>506</v>
      </c>
      <c r="F62" t="s">
        <v>29</v>
      </c>
      <c r="G62" t="s">
        <v>14</v>
      </c>
      <c r="H62">
        <v>7.26234690678326</v>
      </c>
      <c r="I62" t="s">
        <v>529</v>
      </c>
      <c r="L62" t="s">
        <v>5</v>
      </c>
      <c r="M62" t="s">
        <v>20</v>
      </c>
      <c r="N62">
        <v>6.82590977372928</v>
      </c>
      <c r="O62">
        <v>8.5850917136085295E-2</v>
      </c>
      <c r="P62">
        <v>79.508874237293199</v>
      </c>
      <c r="Q62">
        <v>0</v>
      </c>
      <c r="R62">
        <v>921.41430136997599</v>
      </c>
      <c r="S62">
        <v>79.104262834917705</v>
      </c>
      <c r="T62" t="s">
        <v>543</v>
      </c>
    </row>
    <row r="63" spans="1:20" x14ac:dyDescent="0.3">
      <c r="A63" t="s">
        <v>14</v>
      </c>
      <c r="B63">
        <v>6.0171619729493901</v>
      </c>
      <c r="C63" t="s">
        <v>506</v>
      </c>
      <c r="F63" t="s">
        <v>29</v>
      </c>
      <c r="G63" t="s">
        <v>21</v>
      </c>
      <c r="H63">
        <v>7.2408606014578298</v>
      </c>
      <c r="I63" t="s">
        <v>529</v>
      </c>
      <c r="L63" t="s">
        <v>29</v>
      </c>
      <c r="M63" t="s">
        <v>21</v>
      </c>
      <c r="N63">
        <v>7.2408606014578298</v>
      </c>
      <c r="O63">
        <v>8.58450355473305E-2</v>
      </c>
      <c r="P63">
        <v>84.348041273343</v>
      </c>
      <c r="Q63">
        <v>0</v>
      </c>
      <c r="R63">
        <v>1395.29424657557</v>
      </c>
      <c r="S63">
        <v>119.779084196265</v>
      </c>
      <c r="T63" t="s">
        <v>529</v>
      </c>
    </row>
    <row r="64" spans="1:20" x14ac:dyDescent="0.3">
      <c r="A64" t="s">
        <v>12</v>
      </c>
      <c r="B64">
        <v>5.8760993591299</v>
      </c>
      <c r="C64" t="s">
        <v>504</v>
      </c>
      <c r="F64" t="s">
        <v>5</v>
      </c>
      <c r="G64" t="s">
        <v>15</v>
      </c>
      <c r="H64">
        <v>7.2286267077780098</v>
      </c>
      <c r="I64" t="s">
        <v>532</v>
      </c>
      <c r="L64" t="s">
        <v>28</v>
      </c>
      <c r="M64" t="s">
        <v>21</v>
      </c>
      <c r="N64">
        <v>5.0529472903416899</v>
      </c>
      <c r="O64">
        <v>8.5935526535622794E-2</v>
      </c>
      <c r="P64">
        <v>58.799282369522601</v>
      </c>
      <c r="Q64">
        <v>0</v>
      </c>
      <c r="R64">
        <v>156.48298630145001</v>
      </c>
      <c r="S64">
        <v>13.4474478216818</v>
      </c>
      <c r="T64" t="s">
        <v>544</v>
      </c>
    </row>
    <row r="65" spans="1:20" x14ac:dyDescent="0.3">
      <c r="A65" t="s">
        <v>10</v>
      </c>
      <c r="B65">
        <v>5.8070395752550699</v>
      </c>
      <c r="C65" t="s">
        <v>503</v>
      </c>
      <c r="F65" t="s">
        <v>29</v>
      </c>
      <c r="G65" t="s">
        <v>16</v>
      </c>
      <c r="H65">
        <v>7.1667431821579104</v>
      </c>
      <c r="I65" t="s">
        <v>517</v>
      </c>
      <c r="L65" t="s">
        <v>5</v>
      </c>
      <c r="M65" t="s">
        <v>21</v>
      </c>
      <c r="N65">
        <v>5.8504655762300102</v>
      </c>
      <c r="O65">
        <v>8.58795263322851E-2</v>
      </c>
      <c r="P65">
        <v>68.1241015884669</v>
      </c>
      <c r="Q65">
        <v>0</v>
      </c>
      <c r="R65">
        <v>347.39608219184402</v>
      </c>
      <c r="S65">
        <v>29.834210988327101</v>
      </c>
      <c r="T65" t="s">
        <v>545</v>
      </c>
    </row>
    <row r="66" spans="1:20" x14ac:dyDescent="0.3">
      <c r="A66" t="s">
        <v>16</v>
      </c>
      <c r="B66">
        <v>5.6388605188783902</v>
      </c>
      <c r="C66" t="s">
        <v>507</v>
      </c>
      <c r="F66" t="s">
        <v>29</v>
      </c>
      <c r="G66" t="s">
        <v>10</v>
      </c>
      <c r="H66">
        <v>7.1548245221957103</v>
      </c>
      <c r="I66" t="s">
        <v>517</v>
      </c>
      <c r="L66" t="s">
        <v>29</v>
      </c>
      <c r="M66" t="s">
        <v>22</v>
      </c>
      <c r="N66">
        <v>7.70908399238672</v>
      </c>
      <c r="O66">
        <v>8.5723410451440205E-2</v>
      </c>
      <c r="P66">
        <v>89.929739750073196</v>
      </c>
      <c r="Q66">
        <v>0</v>
      </c>
      <c r="R66">
        <v>2228.5000000002401</v>
      </c>
      <c r="S66">
        <v>191.03462019105501</v>
      </c>
      <c r="T66" t="s">
        <v>541</v>
      </c>
    </row>
    <row r="67" spans="1:20" x14ac:dyDescent="0.3">
      <c r="A67" t="s">
        <v>17</v>
      </c>
      <c r="B67">
        <v>5.5113570390828901</v>
      </c>
      <c r="C67" t="s">
        <v>508</v>
      </c>
      <c r="F67" t="s">
        <v>29</v>
      </c>
      <c r="G67" t="s">
        <v>8</v>
      </c>
      <c r="H67">
        <v>7.1547780149170404</v>
      </c>
      <c r="I67" t="s">
        <v>517</v>
      </c>
      <c r="L67" t="s">
        <v>28</v>
      </c>
      <c r="M67" t="s">
        <v>22</v>
      </c>
      <c r="N67">
        <v>5.4880624617727296</v>
      </c>
      <c r="O67">
        <v>8.5782149604826899E-2</v>
      </c>
      <c r="P67">
        <v>63.976742096748801</v>
      </c>
      <c r="Q67">
        <v>0</v>
      </c>
      <c r="R67">
        <v>241.78827868866</v>
      </c>
      <c r="S67">
        <v>20.741118295164199</v>
      </c>
      <c r="T67" t="s">
        <v>546</v>
      </c>
    </row>
    <row r="68" spans="1:20" x14ac:dyDescent="0.3">
      <c r="A68" t="s">
        <v>8</v>
      </c>
      <c r="B68">
        <v>5.3224741285568999</v>
      </c>
      <c r="C68" t="s">
        <v>501</v>
      </c>
      <c r="F68" t="s">
        <v>29</v>
      </c>
      <c r="G68" t="s">
        <v>11</v>
      </c>
      <c r="H68">
        <v>7.0484693814899</v>
      </c>
      <c r="I68" t="s">
        <v>524</v>
      </c>
      <c r="L68" t="s">
        <v>5</v>
      </c>
      <c r="M68" t="s">
        <v>22</v>
      </c>
      <c r="N68">
        <v>6.9169325198647797</v>
      </c>
      <c r="O68">
        <v>8.5732049640253299E-2</v>
      </c>
      <c r="P68">
        <v>80.680825302666193</v>
      </c>
      <c r="Q68">
        <v>0</v>
      </c>
      <c r="R68">
        <v>1009.2194808744</v>
      </c>
      <c r="S68">
        <v>86.522454632234698</v>
      </c>
      <c r="T68" t="s">
        <v>547</v>
      </c>
    </row>
    <row r="69" spans="1:20" x14ac:dyDescent="0.3">
      <c r="A69" t="s">
        <v>13</v>
      </c>
      <c r="B69">
        <v>5.0669824371786696</v>
      </c>
      <c r="C69" t="s">
        <v>505</v>
      </c>
      <c r="F69" t="s">
        <v>5</v>
      </c>
      <c r="G69" t="s">
        <v>22</v>
      </c>
      <c r="H69">
        <v>6.9169325198647797</v>
      </c>
      <c r="I69" t="s">
        <v>547</v>
      </c>
      <c r="L69" t="s">
        <v>29</v>
      </c>
      <c r="M69" t="s">
        <v>23</v>
      </c>
      <c r="N69">
        <v>7.6055246375124197</v>
      </c>
      <c r="O69">
        <v>8.5841540799633395E-2</v>
      </c>
      <c r="P69">
        <v>88.599582051594496</v>
      </c>
      <c r="Q69">
        <v>0</v>
      </c>
      <c r="R69">
        <v>2009.2657534248201</v>
      </c>
      <c r="S69">
        <v>172.47846814992201</v>
      </c>
      <c r="T69" t="s">
        <v>526</v>
      </c>
    </row>
    <row r="70" spans="1:20" x14ac:dyDescent="0.3">
      <c r="A70" t="s">
        <v>9</v>
      </c>
      <c r="B70">
        <v>5.0189385643742703</v>
      </c>
      <c r="C70" t="s">
        <v>502</v>
      </c>
      <c r="F70" t="s">
        <v>5</v>
      </c>
      <c r="G70" t="s">
        <v>20</v>
      </c>
      <c r="H70">
        <v>6.82590977372928</v>
      </c>
      <c r="I70" t="s">
        <v>543</v>
      </c>
      <c r="L70" t="s">
        <v>28</v>
      </c>
      <c r="M70" t="s">
        <v>23</v>
      </c>
      <c r="N70">
        <v>4.83533059571654</v>
      </c>
      <c r="O70">
        <v>8.5960288118182196E-2</v>
      </c>
      <c r="P70">
        <v>56.250749055990802</v>
      </c>
      <c r="Q70">
        <v>0</v>
      </c>
      <c r="R70">
        <v>125.880191780885</v>
      </c>
      <c r="S70">
        <v>10.820697553856901</v>
      </c>
      <c r="T70" t="s">
        <v>520</v>
      </c>
    </row>
    <row r="71" spans="1:20" x14ac:dyDescent="0.3">
      <c r="A71" t="s">
        <v>11</v>
      </c>
      <c r="B71">
        <v>4.9393205991605003</v>
      </c>
      <c r="C71" t="s">
        <v>502</v>
      </c>
      <c r="F71" t="s">
        <v>5</v>
      </c>
      <c r="G71" t="s">
        <v>26</v>
      </c>
      <c r="H71">
        <v>6.7264522066355799</v>
      </c>
      <c r="I71" t="s">
        <v>552</v>
      </c>
      <c r="L71" t="s">
        <v>5</v>
      </c>
      <c r="M71" t="s">
        <v>23</v>
      </c>
      <c r="N71">
        <v>5.94049715490788</v>
      </c>
      <c r="O71">
        <v>8.5875572993776697E-2</v>
      </c>
      <c r="P71">
        <v>69.175633393891601</v>
      </c>
      <c r="Q71">
        <v>0</v>
      </c>
      <c r="R71">
        <v>380.12386301374698</v>
      </c>
      <c r="S71">
        <v>32.6433545449134</v>
      </c>
      <c r="T71" t="s">
        <v>548</v>
      </c>
    </row>
    <row r="72" spans="1:20" x14ac:dyDescent="0.3">
      <c r="F72" t="s">
        <v>5</v>
      </c>
      <c r="G72" t="s">
        <v>10</v>
      </c>
      <c r="H72">
        <v>6.6644283619165998</v>
      </c>
      <c r="I72" t="s">
        <v>523</v>
      </c>
      <c r="L72" t="s">
        <v>29</v>
      </c>
      <c r="M72" t="s">
        <v>24</v>
      </c>
      <c r="N72">
        <v>7.6577409568944796</v>
      </c>
      <c r="O72">
        <v>8.6077288855338399E-2</v>
      </c>
      <c r="P72">
        <v>88.963547280910305</v>
      </c>
      <c r="Q72">
        <v>0</v>
      </c>
      <c r="R72">
        <v>2116.9696969699799</v>
      </c>
      <c r="S72">
        <v>182.22301210408301</v>
      </c>
      <c r="T72" t="s">
        <v>549</v>
      </c>
    </row>
    <row r="73" spans="1:20" x14ac:dyDescent="0.3">
      <c r="F73" t="s">
        <v>29</v>
      </c>
      <c r="G73" t="s">
        <v>13</v>
      </c>
      <c r="H73">
        <v>6.6383739946139402</v>
      </c>
      <c r="I73" t="s">
        <v>527</v>
      </c>
      <c r="L73" t="s">
        <v>28</v>
      </c>
      <c r="M73" t="s">
        <v>24</v>
      </c>
      <c r="N73">
        <v>4.8677333769281299</v>
      </c>
      <c r="O73">
        <v>8.5956251690356603E-2</v>
      </c>
      <c r="P73">
        <v>56.630358830249399</v>
      </c>
      <c r="Q73">
        <v>0</v>
      </c>
      <c r="R73">
        <v>130.02586301376499</v>
      </c>
      <c r="S73">
        <v>11.176535807466999</v>
      </c>
      <c r="T73" t="s">
        <v>520</v>
      </c>
    </row>
    <row r="74" spans="1:20" x14ac:dyDescent="0.3">
      <c r="F74" t="s">
        <v>5</v>
      </c>
      <c r="G74" t="s">
        <v>12</v>
      </c>
      <c r="H74">
        <v>6.5576272329955403</v>
      </c>
      <c r="I74" t="s">
        <v>527</v>
      </c>
      <c r="L74" t="s">
        <v>5</v>
      </c>
      <c r="M74" t="s">
        <v>24</v>
      </c>
      <c r="N74">
        <v>5.9842298782445296</v>
      </c>
      <c r="O74">
        <v>8.5873777302841806E-2</v>
      </c>
      <c r="P74">
        <v>69.686347406619703</v>
      </c>
      <c r="Q74">
        <v>0</v>
      </c>
      <c r="R74">
        <v>397.116575342543</v>
      </c>
      <c r="S74">
        <v>34.101900354232797</v>
      </c>
      <c r="T74" t="s">
        <v>519</v>
      </c>
    </row>
    <row r="75" spans="1:20" x14ac:dyDescent="0.3">
      <c r="F75" t="s">
        <v>5</v>
      </c>
      <c r="G75" t="s">
        <v>17</v>
      </c>
      <c r="H75">
        <v>6.4562389455356604</v>
      </c>
      <c r="I75" t="s">
        <v>536</v>
      </c>
      <c r="L75" t="s">
        <v>29</v>
      </c>
      <c r="M75" t="s">
        <v>25</v>
      </c>
      <c r="N75">
        <v>7.7283747795795197</v>
      </c>
      <c r="O75">
        <v>8.5840622643087505E-2</v>
      </c>
      <c r="P75">
        <v>90.031671970891296</v>
      </c>
      <c r="Q75">
        <v>0</v>
      </c>
      <c r="R75">
        <v>2271.90684931545</v>
      </c>
      <c r="S75">
        <v>195.02189853233301</v>
      </c>
      <c r="T75" t="s">
        <v>541</v>
      </c>
    </row>
    <row r="76" spans="1:20" x14ac:dyDescent="0.3">
      <c r="F76" t="s">
        <v>5</v>
      </c>
      <c r="G76" t="s">
        <v>14</v>
      </c>
      <c r="H76">
        <v>6.4078626587811103</v>
      </c>
      <c r="I76" t="s">
        <v>530</v>
      </c>
      <c r="L76" t="s">
        <v>28</v>
      </c>
      <c r="M76" t="s">
        <v>25</v>
      </c>
      <c r="N76">
        <v>4.8425505414915104</v>
      </c>
      <c r="O76">
        <v>8.5959377384769595E-2</v>
      </c>
      <c r="P76">
        <v>56.335337560850299</v>
      </c>
      <c r="Q76">
        <v>0</v>
      </c>
      <c r="R76">
        <v>126.792328767187</v>
      </c>
      <c r="S76">
        <v>10.898989637992401</v>
      </c>
      <c r="T76" t="s">
        <v>520</v>
      </c>
    </row>
    <row r="77" spans="1:20" x14ac:dyDescent="0.3">
      <c r="F77" t="s">
        <v>5</v>
      </c>
      <c r="G77" t="s">
        <v>16</v>
      </c>
      <c r="H77">
        <v>6.3725426397619902</v>
      </c>
      <c r="I77" t="s">
        <v>534</v>
      </c>
      <c r="L77" t="s">
        <v>5</v>
      </c>
      <c r="M77" t="s">
        <v>25</v>
      </c>
      <c r="N77">
        <v>5.7810925162749003</v>
      </c>
      <c r="O77">
        <v>8.5882824679312506E-2</v>
      </c>
      <c r="P77">
        <v>67.313721199338403</v>
      </c>
      <c r="Q77">
        <v>0</v>
      </c>
      <c r="R77">
        <v>324.11309589046601</v>
      </c>
      <c r="S77">
        <v>27.835748190630099</v>
      </c>
      <c r="T77" t="s">
        <v>550</v>
      </c>
    </row>
    <row r="78" spans="1:20" x14ac:dyDescent="0.3">
      <c r="F78" t="s">
        <v>5</v>
      </c>
      <c r="G78" t="s">
        <v>27</v>
      </c>
      <c r="H78">
        <v>6.2218981517055596</v>
      </c>
      <c r="I78" t="s">
        <v>553</v>
      </c>
      <c r="L78" t="s">
        <v>29</v>
      </c>
      <c r="M78" t="s">
        <v>26</v>
      </c>
      <c r="N78">
        <v>8.0041264425396204</v>
      </c>
      <c r="O78">
        <v>8.5721583309010196E-2</v>
      </c>
      <c r="P78">
        <v>93.373525471248499</v>
      </c>
      <c r="Q78">
        <v>0</v>
      </c>
      <c r="R78">
        <v>2993.2841530057299</v>
      </c>
      <c r="S78">
        <v>256.58905688942002</v>
      </c>
      <c r="T78" t="s">
        <v>551</v>
      </c>
    </row>
    <row r="79" spans="1:20" x14ac:dyDescent="0.3">
      <c r="F79" t="s">
        <v>5</v>
      </c>
      <c r="G79" t="s">
        <v>11</v>
      </c>
      <c r="H79">
        <v>5.9960968834435304</v>
      </c>
      <c r="I79" t="s">
        <v>519</v>
      </c>
      <c r="L79" t="s">
        <v>28</v>
      </c>
      <c r="M79" t="s">
        <v>26</v>
      </c>
      <c r="N79">
        <v>5.12920021384216</v>
      </c>
      <c r="O79">
        <v>8.5810578920477998E-2</v>
      </c>
      <c r="P79">
        <v>59.773518351338403</v>
      </c>
      <c r="Q79">
        <v>0</v>
      </c>
      <c r="R79">
        <v>168.88199453559599</v>
      </c>
      <c r="S79">
        <v>14.491861720344501</v>
      </c>
      <c r="T79" t="s">
        <v>544</v>
      </c>
    </row>
    <row r="80" spans="1:20" x14ac:dyDescent="0.3">
      <c r="F80" t="s">
        <v>5</v>
      </c>
      <c r="G80" t="s">
        <v>13</v>
      </c>
      <c r="H80">
        <v>5.9852748137334002</v>
      </c>
      <c r="I80" t="s">
        <v>519</v>
      </c>
      <c r="L80" t="s">
        <v>5</v>
      </c>
      <c r="M80" t="s">
        <v>26</v>
      </c>
      <c r="N80">
        <v>6.7264522066355799</v>
      </c>
      <c r="O80">
        <v>8.5735362632556406E-2</v>
      </c>
      <c r="P80">
        <v>78.455983623277206</v>
      </c>
      <c r="Q80">
        <v>0</v>
      </c>
      <c r="R80">
        <v>834.182502732339</v>
      </c>
      <c r="S80">
        <v>71.518939373490596</v>
      </c>
      <c r="T80" t="s">
        <v>552</v>
      </c>
    </row>
    <row r="81" spans="6:20" x14ac:dyDescent="0.3">
      <c r="F81" t="s">
        <v>5</v>
      </c>
      <c r="G81" t="s">
        <v>24</v>
      </c>
      <c r="H81">
        <v>5.9842298782445296</v>
      </c>
      <c r="I81" t="s">
        <v>519</v>
      </c>
      <c r="L81" t="s">
        <v>29</v>
      </c>
      <c r="M81" t="s">
        <v>27</v>
      </c>
      <c r="N81">
        <v>7.3438028836780802</v>
      </c>
      <c r="O81">
        <v>8.5961753394820095E-2</v>
      </c>
      <c r="P81">
        <v>85.431050364319404</v>
      </c>
      <c r="Q81">
        <v>0</v>
      </c>
      <c r="R81">
        <v>1546.5824175827099</v>
      </c>
      <c r="S81">
        <v>132.946936385009</v>
      </c>
      <c r="T81" t="s">
        <v>535</v>
      </c>
    </row>
    <row r="82" spans="6:20" x14ac:dyDescent="0.3">
      <c r="F82" t="s">
        <v>5</v>
      </c>
      <c r="G82" t="s">
        <v>9</v>
      </c>
      <c r="H82">
        <v>5.9838940452280598</v>
      </c>
      <c r="I82" t="s">
        <v>519</v>
      </c>
      <c r="L82" t="s">
        <v>28</v>
      </c>
      <c r="M82" t="s">
        <v>27</v>
      </c>
      <c r="N82">
        <v>4.5215740215743798</v>
      </c>
      <c r="O82">
        <v>8.6006933451806905E-2</v>
      </c>
      <c r="P82">
        <v>52.572203659696697</v>
      </c>
      <c r="Q82">
        <v>0</v>
      </c>
      <c r="R82">
        <v>91.980263013745798</v>
      </c>
      <c r="S82">
        <v>7.9109403599029298</v>
      </c>
      <c r="T82" t="s">
        <v>512</v>
      </c>
    </row>
    <row r="83" spans="6:20" x14ac:dyDescent="0.3">
      <c r="F83" t="s">
        <v>5</v>
      </c>
      <c r="G83" t="s">
        <v>8</v>
      </c>
      <c r="H83">
        <v>5.9514396805732197</v>
      </c>
      <c r="I83" t="s">
        <v>519</v>
      </c>
      <c r="L83" t="s">
        <v>5</v>
      </c>
      <c r="M83" t="s">
        <v>27</v>
      </c>
      <c r="N83">
        <v>6.2218981517055596</v>
      </c>
      <c r="O83">
        <v>8.5865279553430596E-2</v>
      </c>
      <c r="P83">
        <v>72.461164559930396</v>
      </c>
      <c r="Q83">
        <v>0</v>
      </c>
      <c r="R83">
        <v>503.658345205579</v>
      </c>
      <c r="S83">
        <v>43.246764610495298</v>
      </c>
      <c r="T83" t="s">
        <v>553</v>
      </c>
    </row>
    <row r="84" spans="6:20" x14ac:dyDescent="0.3">
      <c r="F84" t="s">
        <v>5</v>
      </c>
      <c r="G84" t="s">
        <v>23</v>
      </c>
      <c r="H84">
        <v>5.94049715490788</v>
      </c>
      <c r="I84" t="s">
        <v>548</v>
      </c>
    </row>
    <row r="85" spans="6:20" x14ac:dyDescent="0.3">
      <c r="F85" t="s">
        <v>5</v>
      </c>
      <c r="G85" t="s">
        <v>21</v>
      </c>
      <c r="H85">
        <v>5.8504655762300102</v>
      </c>
      <c r="I85" t="s">
        <v>545</v>
      </c>
    </row>
    <row r="86" spans="6:20" x14ac:dyDescent="0.3">
      <c r="F86" t="s">
        <v>5</v>
      </c>
      <c r="G86" t="s">
        <v>25</v>
      </c>
      <c r="H86">
        <v>5.7810925162749003</v>
      </c>
      <c r="I86" t="s">
        <v>550</v>
      </c>
    </row>
    <row r="87" spans="6:20" x14ac:dyDescent="0.3">
      <c r="F87" t="s">
        <v>28</v>
      </c>
      <c r="G87" t="s">
        <v>22</v>
      </c>
      <c r="H87">
        <v>5.4880624617727296</v>
      </c>
      <c r="I87" t="s">
        <v>546</v>
      </c>
    </row>
    <row r="88" spans="6:20" x14ac:dyDescent="0.3">
      <c r="F88" t="s">
        <v>28</v>
      </c>
      <c r="G88" t="s">
        <v>20</v>
      </c>
      <c r="H88">
        <v>5.3203708833486596</v>
      </c>
      <c r="I88" t="s">
        <v>542</v>
      </c>
    </row>
    <row r="89" spans="6:20" x14ac:dyDescent="0.3">
      <c r="F89" t="s">
        <v>28</v>
      </c>
      <c r="G89" t="s">
        <v>19</v>
      </c>
      <c r="H89">
        <v>5.2647472667857</v>
      </c>
      <c r="I89" t="s">
        <v>539</v>
      </c>
    </row>
    <row r="90" spans="6:20" x14ac:dyDescent="0.3">
      <c r="F90" t="s">
        <v>28</v>
      </c>
      <c r="G90" t="s">
        <v>26</v>
      </c>
      <c r="H90">
        <v>5.12920021384216</v>
      </c>
      <c r="I90" t="s">
        <v>544</v>
      </c>
    </row>
    <row r="91" spans="6:20" x14ac:dyDescent="0.3">
      <c r="F91" t="s">
        <v>28</v>
      </c>
      <c r="G91" t="s">
        <v>21</v>
      </c>
      <c r="H91">
        <v>5.0529472903416899</v>
      </c>
      <c r="I91" t="s">
        <v>544</v>
      </c>
    </row>
    <row r="92" spans="6:20" x14ac:dyDescent="0.3">
      <c r="F92" t="s">
        <v>29</v>
      </c>
      <c r="G92" t="s">
        <v>9</v>
      </c>
      <c r="H92">
        <v>4.8733342481710897</v>
      </c>
      <c r="I92" t="s">
        <v>520</v>
      </c>
    </row>
    <row r="93" spans="6:20" x14ac:dyDescent="0.3">
      <c r="F93" t="s">
        <v>28</v>
      </c>
      <c r="G93" t="s">
        <v>24</v>
      </c>
      <c r="H93">
        <v>4.8677333769281299</v>
      </c>
      <c r="I93" t="s">
        <v>520</v>
      </c>
    </row>
    <row r="94" spans="6:20" x14ac:dyDescent="0.3">
      <c r="F94" t="s">
        <v>28</v>
      </c>
      <c r="G94" t="s">
        <v>25</v>
      </c>
      <c r="H94">
        <v>4.8425505414915104</v>
      </c>
      <c r="I94" t="s">
        <v>520</v>
      </c>
    </row>
    <row r="95" spans="6:20" x14ac:dyDescent="0.3">
      <c r="F95" t="s">
        <v>28</v>
      </c>
      <c r="G95" t="s">
        <v>23</v>
      </c>
      <c r="H95">
        <v>4.83533059571654</v>
      </c>
      <c r="I95" t="s">
        <v>520</v>
      </c>
    </row>
    <row r="96" spans="6:20" x14ac:dyDescent="0.3">
      <c r="F96" t="s">
        <v>28</v>
      </c>
      <c r="G96" t="s">
        <v>7</v>
      </c>
      <c r="H96">
        <v>4.6581511650237397</v>
      </c>
      <c r="I96" t="s">
        <v>515</v>
      </c>
    </row>
    <row r="97" spans="6:9" x14ac:dyDescent="0.3">
      <c r="F97" t="s">
        <v>28</v>
      </c>
      <c r="G97" t="s">
        <v>27</v>
      </c>
      <c r="H97">
        <v>4.5215740215743798</v>
      </c>
      <c r="I97" t="s">
        <v>512</v>
      </c>
    </row>
    <row r="98" spans="6:9" x14ac:dyDescent="0.3">
      <c r="F98" t="s">
        <v>28</v>
      </c>
      <c r="G98" t="s">
        <v>6</v>
      </c>
      <c r="H98">
        <v>4.3997041618708996</v>
      </c>
      <c r="I98" t="s">
        <v>512</v>
      </c>
    </row>
    <row r="99" spans="6:9" x14ac:dyDescent="0.3">
      <c r="F99" t="s">
        <v>28</v>
      </c>
      <c r="G99" t="s">
        <v>14</v>
      </c>
      <c r="H99">
        <v>4.3812763532838099</v>
      </c>
      <c r="I99" t="s">
        <v>512</v>
      </c>
    </row>
    <row r="100" spans="6:9" x14ac:dyDescent="0.3">
      <c r="F100" t="s">
        <v>28</v>
      </c>
      <c r="G100" t="s">
        <v>18</v>
      </c>
      <c r="H100">
        <v>4.2761085106371697</v>
      </c>
      <c r="I100" t="s">
        <v>521</v>
      </c>
    </row>
    <row r="101" spans="6:9" x14ac:dyDescent="0.3">
      <c r="F101" t="s">
        <v>28</v>
      </c>
      <c r="G101" t="s">
        <v>9</v>
      </c>
      <c r="H101">
        <v>4.1995873997236499</v>
      </c>
      <c r="I101" t="s">
        <v>521</v>
      </c>
    </row>
    <row r="102" spans="6:9" x14ac:dyDescent="0.3">
      <c r="F102" t="s">
        <v>28</v>
      </c>
      <c r="G102" t="s">
        <v>15</v>
      </c>
      <c r="H102">
        <v>4.1720317053179503</v>
      </c>
      <c r="I102" t="s">
        <v>521</v>
      </c>
    </row>
    <row r="103" spans="6:9" x14ac:dyDescent="0.3">
      <c r="F103" t="s">
        <v>28</v>
      </c>
      <c r="G103" t="s">
        <v>10</v>
      </c>
      <c r="H103">
        <v>3.6018658416528999</v>
      </c>
      <c r="I103" t="s">
        <v>522</v>
      </c>
    </row>
    <row r="104" spans="6:9" x14ac:dyDescent="0.3">
      <c r="F104" t="s">
        <v>28</v>
      </c>
      <c r="G104" t="s">
        <v>12</v>
      </c>
      <c r="H104">
        <v>3.4685307948181601</v>
      </c>
      <c r="I104" t="s">
        <v>522</v>
      </c>
    </row>
    <row r="105" spans="6:9" x14ac:dyDescent="0.3">
      <c r="F105" t="s">
        <v>28</v>
      </c>
      <c r="G105" t="s">
        <v>16</v>
      </c>
      <c r="H105">
        <v>3.3772957347152701</v>
      </c>
      <c r="I105" t="s">
        <v>533</v>
      </c>
    </row>
    <row r="106" spans="6:9" x14ac:dyDescent="0.3">
      <c r="F106" t="s">
        <v>28</v>
      </c>
      <c r="G106" t="s">
        <v>8</v>
      </c>
      <c r="H106">
        <v>2.86120469018043</v>
      </c>
      <c r="I106" t="s">
        <v>518</v>
      </c>
    </row>
    <row r="107" spans="6:9" x14ac:dyDescent="0.3">
      <c r="F107" t="s">
        <v>28</v>
      </c>
      <c r="G107" t="s">
        <v>17</v>
      </c>
      <c r="H107">
        <v>2.7220737838314402</v>
      </c>
      <c r="I107" t="s">
        <v>528</v>
      </c>
    </row>
    <row r="108" spans="6:9" x14ac:dyDescent="0.3">
      <c r="F108" t="s">
        <v>28</v>
      </c>
      <c r="G108" t="s">
        <v>13</v>
      </c>
      <c r="H108">
        <v>2.5772985031886599</v>
      </c>
      <c r="I108" t="s">
        <v>528</v>
      </c>
    </row>
    <row r="109" spans="6:9" x14ac:dyDescent="0.3">
      <c r="F109" t="s">
        <v>28</v>
      </c>
      <c r="G109" t="s">
        <v>11</v>
      </c>
      <c r="H109">
        <v>1.7733955325480699</v>
      </c>
      <c r="I109" t="s">
        <v>525</v>
      </c>
    </row>
  </sheetData>
  <conditionalFormatting sqref="E5:E7">
    <cfRule type="cellIs" dxfId="2" priority="1" operator="between">
      <formula>0.01</formula>
      <formula>0.05</formula>
    </cfRule>
    <cfRule type="cellIs" dxfId="1" priority="2" operator="between">
      <formula>0.001</formula>
      <formula>0.01</formula>
    </cfRule>
    <cfRule type="cellIs" dxfId="0" priority="3" operator="lessThan">
      <formula>0.001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0"/>
  <sheetViews>
    <sheetView topLeftCell="A51" workbookViewId="0">
      <selection activeCell="C60" sqref="C60:C61"/>
    </sheetView>
  </sheetViews>
  <sheetFormatPr defaultColWidth="11.44140625" defaultRowHeight="14.4" x14ac:dyDescent="0.3"/>
  <sheetData>
    <row r="1" spans="1:20" x14ac:dyDescent="0.3">
      <c r="E1" s="4">
        <f>AVERAGE(E3:E24)</f>
        <v>872.75316905729198</v>
      </c>
      <c r="K1" s="4">
        <f>AVERAGE(K3:K24)</f>
        <v>93.625312889505935</v>
      </c>
      <c r="Q1" s="4">
        <f>QUARTILE(R3:R24,1)</f>
        <v>1320.5371605449325</v>
      </c>
      <c r="R1" s="4">
        <f>AVERAGE(R3:R24)</f>
        <v>2108.898180807983</v>
      </c>
      <c r="S1" s="4">
        <f>QUARTILE(R3:R24,3)</f>
        <v>2490.9934254206873</v>
      </c>
    </row>
    <row r="2" spans="1:20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G2" t="s">
        <v>0</v>
      </c>
      <c r="H2" t="s">
        <v>1</v>
      </c>
      <c r="I2" t="s">
        <v>2</v>
      </c>
      <c r="J2" t="s">
        <v>3</v>
      </c>
      <c r="K2" t="s">
        <v>4</v>
      </c>
      <c r="N2" t="s">
        <v>0</v>
      </c>
      <c r="O2" t="s">
        <v>1</v>
      </c>
      <c r="P2" t="s">
        <v>2</v>
      </c>
      <c r="Q2" t="s">
        <v>3</v>
      </c>
      <c r="R2" t="s">
        <v>4</v>
      </c>
      <c r="T2" t="s">
        <v>554</v>
      </c>
    </row>
    <row r="3" spans="1:20" x14ac:dyDescent="0.3">
      <c r="A3" t="s">
        <v>5</v>
      </c>
      <c r="B3" t="s">
        <v>6</v>
      </c>
      <c r="C3">
        <v>35</v>
      </c>
      <c r="D3">
        <v>17024.11</v>
      </c>
      <c r="E3" s="5">
        <v>1902.2637704918</v>
      </c>
      <c r="G3" t="s">
        <v>28</v>
      </c>
      <c r="H3" t="s">
        <v>6</v>
      </c>
      <c r="I3">
        <v>0</v>
      </c>
      <c r="J3">
        <v>2572.98</v>
      </c>
      <c r="K3" s="5">
        <v>81.426775956284203</v>
      </c>
      <c r="N3" t="s">
        <v>29</v>
      </c>
      <c r="O3" t="s">
        <v>6</v>
      </c>
      <c r="P3">
        <v>0</v>
      </c>
      <c r="Q3">
        <v>13000</v>
      </c>
      <c r="R3" s="5">
        <v>2564.02228412256</v>
      </c>
      <c r="T3" s="4">
        <f>AVERAGE(R3,K3,E3)</f>
        <v>1515.9042768568813</v>
      </c>
    </row>
    <row r="4" spans="1:20" x14ac:dyDescent="0.3">
      <c r="A4" t="s">
        <v>5</v>
      </c>
      <c r="B4" t="s">
        <v>7</v>
      </c>
      <c r="C4">
        <v>0</v>
      </c>
      <c r="D4">
        <v>14330.11</v>
      </c>
      <c r="E4" s="5">
        <v>2724.1948767123299</v>
      </c>
      <c r="F4">
        <f>RANK(E4,E$4:E$24)</f>
        <v>1</v>
      </c>
      <c r="G4" t="s">
        <v>28</v>
      </c>
      <c r="H4" t="s">
        <v>7</v>
      </c>
      <c r="I4">
        <v>0</v>
      </c>
      <c r="J4">
        <v>1074.0999999999999</v>
      </c>
      <c r="K4" s="5">
        <v>105.44095890411</v>
      </c>
      <c r="L4">
        <f>RANK(K4,K$4:K$24)</f>
        <v>9</v>
      </c>
      <c r="N4" t="s">
        <v>29</v>
      </c>
      <c r="O4" t="s">
        <v>7</v>
      </c>
      <c r="P4">
        <v>0</v>
      </c>
      <c r="Q4">
        <v>16900</v>
      </c>
      <c r="R4" s="5">
        <v>5166.4337349397601</v>
      </c>
      <c r="S4">
        <f>RANK(R4,R$4:R$24)</f>
        <v>1</v>
      </c>
      <c r="T4" s="4">
        <f t="shared" ref="T4:T24" si="0">AVERAGE(R4,K4,E4)</f>
        <v>2665.356523518733</v>
      </c>
    </row>
    <row r="5" spans="1:20" x14ac:dyDescent="0.3">
      <c r="A5" t="s">
        <v>5</v>
      </c>
      <c r="B5" t="s">
        <v>8</v>
      </c>
      <c r="C5">
        <v>0</v>
      </c>
      <c r="D5">
        <v>3118.4</v>
      </c>
      <c r="E5" s="5">
        <v>384.30621917808202</v>
      </c>
      <c r="F5">
        <f t="shared" ref="F5:F24" si="1">RANK(E5,E$4:E$24)</f>
        <v>18</v>
      </c>
      <c r="G5" t="s">
        <v>28</v>
      </c>
      <c r="H5" t="s">
        <v>8</v>
      </c>
      <c r="I5">
        <v>0</v>
      </c>
      <c r="J5">
        <v>373.15</v>
      </c>
      <c r="K5" s="5">
        <v>17.4825753424658</v>
      </c>
      <c r="L5">
        <f t="shared" ref="L5:L24" si="2">RANK(K5,K$4:K$24)</f>
        <v>18</v>
      </c>
      <c r="N5" t="s">
        <v>29</v>
      </c>
      <c r="O5" t="s">
        <v>8</v>
      </c>
      <c r="P5">
        <v>0</v>
      </c>
      <c r="Q5">
        <v>21600</v>
      </c>
      <c r="R5" s="5">
        <v>1280.2082191780801</v>
      </c>
      <c r="S5">
        <f t="shared" ref="S5:S24" si="3">RANK(R5,R$4:R$24)</f>
        <v>18</v>
      </c>
      <c r="T5" s="4">
        <f t="shared" si="0"/>
        <v>560.66567123287598</v>
      </c>
    </row>
    <row r="6" spans="1:20" x14ac:dyDescent="0.3">
      <c r="A6" t="s">
        <v>5</v>
      </c>
      <c r="B6" t="s">
        <v>9</v>
      </c>
      <c r="C6">
        <v>0.37</v>
      </c>
      <c r="D6">
        <v>4758.66</v>
      </c>
      <c r="E6" s="5">
        <v>396.98323287671201</v>
      </c>
      <c r="F6">
        <f t="shared" si="1"/>
        <v>17</v>
      </c>
      <c r="G6" t="s">
        <v>28</v>
      </c>
      <c r="H6" t="s">
        <v>9</v>
      </c>
      <c r="I6">
        <v>0</v>
      </c>
      <c r="J6">
        <v>828.93</v>
      </c>
      <c r="K6" s="5">
        <v>66.658821917808197</v>
      </c>
      <c r="L6">
        <f t="shared" si="2"/>
        <v>13</v>
      </c>
      <c r="N6" t="s">
        <v>29</v>
      </c>
      <c r="O6" t="s">
        <v>9</v>
      </c>
      <c r="P6">
        <v>0</v>
      </c>
      <c r="Q6">
        <v>1720</v>
      </c>
      <c r="R6" s="5">
        <v>130.75616438356201</v>
      </c>
      <c r="S6">
        <f t="shared" si="3"/>
        <v>21</v>
      </c>
      <c r="T6" s="4">
        <f t="shared" si="0"/>
        <v>198.13273972602738</v>
      </c>
    </row>
    <row r="7" spans="1:20" x14ac:dyDescent="0.3">
      <c r="A7" t="s">
        <v>5</v>
      </c>
      <c r="B7" t="s">
        <v>10</v>
      </c>
      <c r="C7">
        <v>1.65</v>
      </c>
      <c r="D7">
        <v>10563.93</v>
      </c>
      <c r="E7" s="5">
        <v>784.01516393442603</v>
      </c>
      <c r="F7">
        <f t="shared" si="1"/>
        <v>8</v>
      </c>
      <c r="G7" t="s">
        <v>28</v>
      </c>
      <c r="H7" t="s">
        <v>10</v>
      </c>
      <c r="I7">
        <v>0</v>
      </c>
      <c r="J7">
        <v>640.65</v>
      </c>
      <c r="K7" s="5">
        <v>36.666584699453601</v>
      </c>
      <c r="L7">
        <f t="shared" si="2"/>
        <v>15</v>
      </c>
      <c r="N7" t="s">
        <v>29</v>
      </c>
      <c r="O7" t="s">
        <v>10</v>
      </c>
      <c r="P7">
        <v>0</v>
      </c>
      <c r="Q7">
        <v>17900</v>
      </c>
      <c r="R7" s="5">
        <v>1280.26775956284</v>
      </c>
      <c r="S7">
        <f t="shared" si="3"/>
        <v>17</v>
      </c>
      <c r="T7" s="4">
        <f t="shared" si="0"/>
        <v>700.31650273223988</v>
      </c>
    </row>
    <row r="8" spans="1:20" x14ac:dyDescent="0.3">
      <c r="A8" t="s">
        <v>5</v>
      </c>
      <c r="B8" t="s">
        <v>11</v>
      </c>
      <c r="C8">
        <v>0</v>
      </c>
      <c r="D8">
        <v>3538.78</v>
      </c>
      <c r="E8" s="5">
        <v>401.85723287671198</v>
      </c>
      <c r="F8">
        <f t="shared" si="1"/>
        <v>14</v>
      </c>
      <c r="G8" t="s">
        <v>28</v>
      </c>
      <c r="H8" t="s">
        <v>11</v>
      </c>
      <c r="I8">
        <v>0</v>
      </c>
      <c r="J8">
        <v>181.46</v>
      </c>
      <c r="K8" s="5">
        <v>5.8908219178082204</v>
      </c>
      <c r="L8">
        <f t="shared" si="2"/>
        <v>21</v>
      </c>
      <c r="N8" t="s">
        <v>29</v>
      </c>
      <c r="O8" t="s">
        <v>11</v>
      </c>
      <c r="P8">
        <v>0</v>
      </c>
      <c r="Q8">
        <v>10500</v>
      </c>
      <c r="R8" s="5">
        <v>1151.0955056179801</v>
      </c>
      <c r="S8">
        <f t="shared" si="3"/>
        <v>19</v>
      </c>
      <c r="T8" s="4">
        <f t="shared" si="0"/>
        <v>519.61452013750011</v>
      </c>
    </row>
    <row r="9" spans="1:20" x14ac:dyDescent="0.3">
      <c r="A9" t="s">
        <v>5</v>
      </c>
      <c r="B9" t="s">
        <v>12</v>
      </c>
      <c r="C9">
        <v>14.26</v>
      </c>
      <c r="D9">
        <v>4183.1499999999996</v>
      </c>
      <c r="E9" s="5">
        <v>704.597863013699</v>
      </c>
      <c r="F9">
        <f t="shared" si="1"/>
        <v>9</v>
      </c>
      <c r="G9" t="s">
        <v>28</v>
      </c>
      <c r="H9" t="s">
        <v>12</v>
      </c>
      <c r="I9">
        <v>0</v>
      </c>
      <c r="J9">
        <v>663.7</v>
      </c>
      <c r="K9" s="5">
        <v>32.089561643835602</v>
      </c>
      <c r="L9">
        <f t="shared" si="2"/>
        <v>16</v>
      </c>
      <c r="N9" t="s">
        <v>29</v>
      </c>
      <c r="O9" t="s">
        <v>12</v>
      </c>
      <c r="P9">
        <v>0</v>
      </c>
      <c r="Q9">
        <v>9030</v>
      </c>
      <c r="R9" s="5">
        <v>2002.47671232877</v>
      </c>
      <c r="S9">
        <f t="shared" si="3"/>
        <v>11</v>
      </c>
      <c r="T9" s="4">
        <f t="shared" si="0"/>
        <v>913.05471232876823</v>
      </c>
    </row>
    <row r="10" spans="1:20" x14ac:dyDescent="0.3">
      <c r="A10" t="s">
        <v>5</v>
      </c>
      <c r="B10" t="s">
        <v>13</v>
      </c>
      <c r="C10">
        <v>17.010000000000002</v>
      </c>
      <c r="D10">
        <v>3798.95</v>
      </c>
      <c r="E10" s="5">
        <v>397.53175342465801</v>
      </c>
      <c r="F10">
        <f t="shared" si="1"/>
        <v>15</v>
      </c>
      <c r="G10" t="s">
        <v>28</v>
      </c>
      <c r="H10" t="s">
        <v>13</v>
      </c>
      <c r="I10">
        <v>0</v>
      </c>
      <c r="J10">
        <v>497.75</v>
      </c>
      <c r="K10" s="5">
        <v>13.1615342465753</v>
      </c>
      <c r="L10">
        <f t="shared" si="2"/>
        <v>20</v>
      </c>
      <c r="N10" t="s">
        <v>29</v>
      </c>
      <c r="O10" t="s">
        <v>13</v>
      </c>
      <c r="P10">
        <v>0</v>
      </c>
      <c r="Q10">
        <v>8230</v>
      </c>
      <c r="R10" s="5">
        <v>763.85195530726298</v>
      </c>
      <c r="S10">
        <f t="shared" si="3"/>
        <v>20</v>
      </c>
      <c r="T10" s="4">
        <f t="shared" si="0"/>
        <v>391.51508099283211</v>
      </c>
    </row>
    <row r="11" spans="1:20" x14ac:dyDescent="0.3">
      <c r="A11" t="s">
        <v>5</v>
      </c>
      <c r="B11" t="s">
        <v>14</v>
      </c>
      <c r="C11">
        <v>26.53</v>
      </c>
      <c r="D11">
        <v>9156.7999999999993</v>
      </c>
      <c r="E11" s="5">
        <v>606.59579234972705</v>
      </c>
      <c r="F11">
        <f t="shared" si="1"/>
        <v>11</v>
      </c>
      <c r="G11" t="s">
        <v>28</v>
      </c>
      <c r="H11" t="s">
        <v>14</v>
      </c>
      <c r="I11">
        <v>0</v>
      </c>
      <c r="J11">
        <v>2077.65</v>
      </c>
      <c r="K11" s="5">
        <v>79.94</v>
      </c>
      <c r="L11">
        <f t="shared" si="2"/>
        <v>11</v>
      </c>
      <c r="N11" t="s">
        <v>29</v>
      </c>
      <c r="O11" t="s">
        <v>14</v>
      </c>
      <c r="P11">
        <v>0</v>
      </c>
      <c r="Q11">
        <v>10900</v>
      </c>
      <c r="R11" s="5">
        <v>1425.59836065574</v>
      </c>
      <c r="S11">
        <f t="shared" si="3"/>
        <v>14</v>
      </c>
      <c r="T11" s="4">
        <f t="shared" si="0"/>
        <v>704.04471766848894</v>
      </c>
    </row>
    <row r="12" spans="1:20" x14ac:dyDescent="0.3">
      <c r="A12" t="s">
        <v>5</v>
      </c>
      <c r="B12" t="s">
        <v>15</v>
      </c>
      <c r="C12">
        <v>1.71</v>
      </c>
      <c r="D12">
        <v>8743.6299999999992</v>
      </c>
      <c r="E12" s="5">
        <v>1378.32835616438</v>
      </c>
      <c r="F12">
        <f t="shared" si="1"/>
        <v>4</v>
      </c>
      <c r="G12" t="s">
        <v>28</v>
      </c>
      <c r="H12" t="s">
        <v>15</v>
      </c>
      <c r="I12">
        <v>0</v>
      </c>
      <c r="J12">
        <v>1112.81</v>
      </c>
      <c r="K12" s="5">
        <v>64.847068493150701</v>
      </c>
      <c r="L12">
        <f t="shared" si="2"/>
        <v>14</v>
      </c>
      <c r="N12" t="s">
        <v>29</v>
      </c>
      <c r="O12" t="s">
        <v>15</v>
      </c>
      <c r="P12">
        <v>0</v>
      </c>
      <c r="Q12">
        <v>14000</v>
      </c>
      <c r="R12" s="5">
        <v>3495.5702247191002</v>
      </c>
      <c r="S12">
        <f t="shared" si="3"/>
        <v>4</v>
      </c>
      <c r="T12" s="4">
        <f t="shared" si="0"/>
        <v>1646.2485497922105</v>
      </c>
    </row>
    <row r="13" spans="1:20" x14ac:dyDescent="0.3">
      <c r="A13" t="s">
        <v>5</v>
      </c>
      <c r="B13" t="s">
        <v>16</v>
      </c>
      <c r="C13">
        <v>61.81</v>
      </c>
      <c r="D13">
        <v>4166.93</v>
      </c>
      <c r="E13" s="5">
        <v>585.54476712328801</v>
      </c>
      <c r="F13">
        <f t="shared" si="1"/>
        <v>12</v>
      </c>
      <c r="G13" t="s">
        <v>28</v>
      </c>
      <c r="H13" t="s">
        <v>16</v>
      </c>
      <c r="I13">
        <v>0</v>
      </c>
      <c r="J13">
        <v>563.04999999999995</v>
      </c>
      <c r="K13" s="5">
        <v>29.291452054794501</v>
      </c>
      <c r="L13">
        <f t="shared" si="2"/>
        <v>17</v>
      </c>
      <c r="N13" t="s">
        <v>29</v>
      </c>
      <c r="O13" t="s">
        <v>16</v>
      </c>
      <c r="P13">
        <v>0</v>
      </c>
      <c r="Q13">
        <v>5900</v>
      </c>
      <c r="R13" s="5">
        <v>1295.6181318681299</v>
      </c>
      <c r="S13">
        <f t="shared" si="3"/>
        <v>16</v>
      </c>
      <c r="T13" s="4">
        <f t="shared" si="0"/>
        <v>636.81811701540414</v>
      </c>
    </row>
    <row r="14" spans="1:20" x14ac:dyDescent="0.3">
      <c r="A14" t="s">
        <v>5</v>
      </c>
      <c r="B14" t="s">
        <v>17</v>
      </c>
      <c r="C14">
        <v>52.99</v>
      </c>
      <c r="D14">
        <v>9099.84</v>
      </c>
      <c r="E14" s="5">
        <v>636.66202739725998</v>
      </c>
      <c r="F14">
        <f t="shared" si="1"/>
        <v>10</v>
      </c>
      <c r="G14" t="s">
        <v>28</v>
      </c>
      <c r="H14" t="s">
        <v>17</v>
      </c>
      <c r="I14">
        <v>0</v>
      </c>
      <c r="J14">
        <v>612.24</v>
      </c>
      <c r="K14" s="5">
        <v>15.2118356164384</v>
      </c>
      <c r="L14">
        <f t="shared" si="2"/>
        <v>19</v>
      </c>
      <c r="N14" t="s">
        <v>29</v>
      </c>
      <c r="O14" t="s">
        <v>17</v>
      </c>
      <c r="P14">
        <v>0</v>
      </c>
      <c r="Q14">
        <v>6580</v>
      </c>
      <c r="R14" s="5">
        <v>1565.18356164384</v>
      </c>
      <c r="S14">
        <f t="shared" si="3"/>
        <v>12</v>
      </c>
      <c r="T14" s="4">
        <f t="shared" si="0"/>
        <v>739.01914155251279</v>
      </c>
    </row>
    <row r="15" spans="1:20" x14ac:dyDescent="0.3">
      <c r="A15" t="s">
        <v>5</v>
      </c>
      <c r="B15" t="s">
        <v>18</v>
      </c>
      <c r="C15">
        <v>66.23</v>
      </c>
      <c r="D15">
        <v>8724.4699999999993</v>
      </c>
      <c r="E15" s="5">
        <v>1841.5577595628399</v>
      </c>
      <c r="F15">
        <f t="shared" si="1"/>
        <v>2</v>
      </c>
      <c r="G15" t="s">
        <v>28</v>
      </c>
      <c r="H15" t="s">
        <v>18</v>
      </c>
      <c r="I15">
        <v>0</v>
      </c>
      <c r="J15">
        <v>723.24</v>
      </c>
      <c r="K15" s="5">
        <v>71.959863387978103</v>
      </c>
      <c r="L15">
        <f t="shared" si="2"/>
        <v>12</v>
      </c>
      <c r="N15" t="s">
        <v>29</v>
      </c>
      <c r="O15" t="s">
        <v>18</v>
      </c>
      <c r="P15">
        <v>234</v>
      </c>
      <c r="Q15">
        <v>13600</v>
      </c>
      <c r="R15" s="5">
        <v>3969.8876712328802</v>
      </c>
      <c r="S15">
        <f t="shared" si="3"/>
        <v>2</v>
      </c>
      <c r="T15" s="4">
        <f t="shared" si="0"/>
        <v>1961.1350980612326</v>
      </c>
    </row>
    <row r="16" spans="1:20" x14ac:dyDescent="0.3">
      <c r="A16" t="s">
        <v>5</v>
      </c>
      <c r="B16" t="s">
        <v>19</v>
      </c>
      <c r="C16">
        <v>32.14</v>
      </c>
      <c r="D16">
        <v>12263.7</v>
      </c>
      <c r="E16" s="5">
        <v>1738.9066575342499</v>
      </c>
      <c r="F16">
        <f t="shared" si="1"/>
        <v>3</v>
      </c>
      <c r="G16" t="s">
        <v>28</v>
      </c>
      <c r="H16" t="s">
        <v>19</v>
      </c>
      <c r="I16">
        <v>15.2</v>
      </c>
      <c r="J16">
        <v>1997.01</v>
      </c>
      <c r="K16" s="5">
        <v>193.397424657534</v>
      </c>
      <c r="L16">
        <f t="shared" si="2"/>
        <v>3</v>
      </c>
      <c r="N16" t="s">
        <v>29</v>
      </c>
      <c r="O16" t="s">
        <v>19</v>
      </c>
      <c r="P16">
        <v>0</v>
      </c>
      <c r="Q16">
        <v>27783</v>
      </c>
      <c r="R16" s="5">
        <v>3555.7646575342501</v>
      </c>
      <c r="S16">
        <f t="shared" si="3"/>
        <v>3</v>
      </c>
      <c r="T16" s="4">
        <f t="shared" si="0"/>
        <v>1829.3562465753446</v>
      </c>
    </row>
    <row r="17" spans="1:20" x14ac:dyDescent="0.3">
      <c r="A17" t="s">
        <v>5</v>
      </c>
      <c r="B17" t="s">
        <v>20</v>
      </c>
      <c r="C17">
        <v>32.72</v>
      </c>
      <c r="D17">
        <v>8260.07</v>
      </c>
      <c r="E17" s="5">
        <v>921.41430136986298</v>
      </c>
      <c r="F17">
        <f t="shared" si="1"/>
        <v>6</v>
      </c>
      <c r="G17" t="s">
        <v>28</v>
      </c>
      <c r="H17" t="s">
        <v>20</v>
      </c>
      <c r="I17">
        <v>0</v>
      </c>
      <c r="J17">
        <v>1269.42</v>
      </c>
      <c r="K17" s="5">
        <v>204.45969863013701</v>
      </c>
      <c r="L17">
        <f t="shared" si="2"/>
        <v>2</v>
      </c>
      <c r="N17" t="s">
        <v>29</v>
      </c>
      <c r="O17" t="s">
        <v>20</v>
      </c>
      <c r="P17">
        <v>0</v>
      </c>
      <c r="Q17">
        <v>8284</v>
      </c>
      <c r="R17" s="5">
        <v>2187.22191780822</v>
      </c>
      <c r="S17">
        <f t="shared" si="3"/>
        <v>8</v>
      </c>
      <c r="T17" s="4">
        <f t="shared" si="0"/>
        <v>1104.3653059360734</v>
      </c>
    </row>
    <row r="18" spans="1:20" x14ac:dyDescent="0.3">
      <c r="A18" t="s">
        <v>5</v>
      </c>
      <c r="B18" t="s">
        <v>21</v>
      </c>
      <c r="C18">
        <v>0</v>
      </c>
      <c r="D18">
        <v>3030.98</v>
      </c>
      <c r="E18" s="5">
        <v>347.39608219178098</v>
      </c>
      <c r="F18">
        <f t="shared" si="1"/>
        <v>20</v>
      </c>
      <c r="G18" t="s">
        <v>28</v>
      </c>
      <c r="H18" t="s">
        <v>21</v>
      </c>
      <c r="I18">
        <v>0</v>
      </c>
      <c r="J18">
        <v>1281.0999999999999</v>
      </c>
      <c r="K18" s="5">
        <v>156.48298630137</v>
      </c>
      <c r="L18">
        <f t="shared" si="2"/>
        <v>5</v>
      </c>
      <c r="N18" t="s">
        <v>29</v>
      </c>
      <c r="O18" t="s">
        <v>21</v>
      </c>
      <c r="P18">
        <v>0</v>
      </c>
      <c r="Q18">
        <v>7630</v>
      </c>
      <c r="R18" s="5">
        <v>1395.2942465753399</v>
      </c>
      <c r="S18">
        <f t="shared" si="3"/>
        <v>15</v>
      </c>
      <c r="T18" s="4">
        <f t="shared" si="0"/>
        <v>633.05777168949692</v>
      </c>
    </row>
    <row r="19" spans="1:20" x14ac:dyDescent="0.3">
      <c r="A19" t="s">
        <v>5</v>
      </c>
      <c r="B19" t="s">
        <v>22</v>
      </c>
      <c r="C19">
        <v>1.0900000000000001</v>
      </c>
      <c r="D19">
        <v>8776.93</v>
      </c>
      <c r="E19" s="5">
        <v>1009.21948087432</v>
      </c>
      <c r="F19">
        <f t="shared" si="1"/>
        <v>5</v>
      </c>
      <c r="G19" t="s">
        <v>28</v>
      </c>
      <c r="H19" t="s">
        <v>22</v>
      </c>
      <c r="I19">
        <v>0</v>
      </c>
      <c r="J19">
        <v>1364.98</v>
      </c>
      <c r="K19" s="5">
        <v>241.788278688525</v>
      </c>
      <c r="L19">
        <f t="shared" si="2"/>
        <v>1</v>
      </c>
      <c r="N19" t="s">
        <v>29</v>
      </c>
      <c r="O19" t="s">
        <v>22</v>
      </c>
      <c r="P19">
        <v>0</v>
      </c>
      <c r="Q19">
        <v>13136</v>
      </c>
      <c r="R19" s="5">
        <v>2228.5</v>
      </c>
      <c r="S19">
        <f t="shared" si="3"/>
        <v>7</v>
      </c>
      <c r="T19" s="4">
        <f t="shared" si="0"/>
        <v>1159.8359198542814</v>
      </c>
    </row>
    <row r="20" spans="1:20" x14ac:dyDescent="0.3">
      <c r="A20" t="s">
        <v>5</v>
      </c>
      <c r="B20" t="s">
        <v>23</v>
      </c>
      <c r="C20">
        <v>0</v>
      </c>
      <c r="D20">
        <v>2765.97</v>
      </c>
      <c r="E20" s="5">
        <v>380.12386301369901</v>
      </c>
      <c r="F20">
        <f t="shared" si="1"/>
        <v>19</v>
      </c>
      <c r="G20" t="s">
        <v>28</v>
      </c>
      <c r="H20" t="s">
        <v>23</v>
      </c>
      <c r="I20">
        <v>0</v>
      </c>
      <c r="J20">
        <v>601.41999999999996</v>
      </c>
      <c r="K20" s="5">
        <v>125.880191780822</v>
      </c>
      <c r="L20">
        <f t="shared" si="2"/>
        <v>8</v>
      </c>
      <c r="N20" t="s">
        <v>29</v>
      </c>
      <c r="O20" t="s">
        <v>23</v>
      </c>
      <c r="P20">
        <v>109</v>
      </c>
      <c r="Q20">
        <v>10681</v>
      </c>
      <c r="R20" s="5">
        <v>2009.26575342466</v>
      </c>
      <c r="S20">
        <f t="shared" si="3"/>
        <v>10</v>
      </c>
      <c r="T20" s="4">
        <f t="shared" si="0"/>
        <v>838.42326940639362</v>
      </c>
    </row>
    <row r="21" spans="1:20" x14ac:dyDescent="0.3">
      <c r="A21" t="s">
        <v>5</v>
      </c>
      <c r="B21" t="s">
        <v>24</v>
      </c>
      <c r="C21">
        <v>0</v>
      </c>
      <c r="D21">
        <v>7815.54</v>
      </c>
      <c r="E21" s="5">
        <v>397.11657534246598</v>
      </c>
      <c r="F21">
        <f t="shared" si="1"/>
        <v>16</v>
      </c>
      <c r="G21" t="s">
        <v>28</v>
      </c>
      <c r="H21" t="s">
        <v>24</v>
      </c>
      <c r="I21">
        <v>3.07</v>
      </c>
      <c r="J21">
        <v>1982.56</v>
      </c>
      <c r="K21" s="5">
        <v>130.025863013699</v>
      </c>
      <c r="L21">
        <f t="shared" si="2"/>
        <v>6</v>
      </c>
      <c r="N21" t="s">
        <v>29</v>
      </c>
      <c r="O21" t="s">
        <v>24</v>
      </c>
      <c r="P21">
        <v>209</v>
      </c>
      <c r="Q21">
        <v>24269</v>
      </c>
      <c r="R21" s="5">
        <v>2116.9696969697002</v>
      </c>
      <c r="S21">
        <f t="shared" si="3"/>
        <v>9</v>
      </c>
      <c r="T21" s="4">
        <f t="shared" si="0"/>
        <v>881.37071177528844</v>
      </c>
    </row>
    <row r="22" spans="1:20" x14ac:dyDescent="0.3">
      <c r="A22" t="s">
        <v>5</v>
      </c>
      <c r="B22" t="s">
        <v>25</v>
      </c>
      <c r="C22">
        <v>0</v>
      </c>
      <c r="D22">
        <v>2103.94</v>
      </c>
      <c r="E22" s="5">
        <v>324.11309589041099</v>
      </c>
      <c r="F22">
        <f t="shared" si="1"/>
        <v>21</v>
      </c>
      <c r="G22" t="s">
        <v>28</v>
      </c>
      <c r="H22" t="s">
        <v>25</v>
      </c>
      <c r="I22">
        <v>0.7</v>
      </c>
      <c r="J22">
        <v>659.61</v>
      </c>
      <c r="K22" s="5">
        <v>126.792328767123</v>
      </c>
      <c r="L22">
        <f t="shared" si="2"/>
        <v>7</v>
      </c>
      <c r="N22" t="s">
        <v>29</v>
      </c>
      <c r="O22" t="s">
        <v>25</v>
      </c>
      <c r="P22">
        <v>192</v>
      </c>
      <c r="Q22">
        <v>10180</v>
      </c>
      <c r="R22" s="5">
        <v>2271.9068493150698</v>
      </c>
      <c r="S22">
        <f t="shared" si="3"/>
        <v>6</v>
      </c>
      <c r="T22" s="4">
        <f t="shared" si="0"/>
        <v>907.60409132420125</v>
      </c>
    </row>
    <row r="23" spans="1:20" x14ac:dyDescent="0.3">
      <c r="A23" t="s">
        <v>5</v>
      </c>
      <c r="B23" t="s">
        <v>26</v>
      </c>
      <c r="C23">
        <v>0</v>
      </c>
      <c r="D23">
        <v>4623.6499999999996</v>
      </c>
      <c r="E23" s="5">
        <v>834.18250273223998</v>
      </c>
      <c r="F23">
        <f t="shared" si="1"/>
        <v>7</v>
      </c>
      <c r="G23" t="s">
        <v>28</v>
      </c>
      <c r="H23" t="s">
        <v>26</v>
      </c>
      <c r="I23">
        <v>6.93</v>
      </c>
      <c r="J23">
        <v>1278.6400000000001</v>
      </c>
      <c r="K23" s="5">
        <v>168.881994535519</v>
      </c>
      <c r="L23">
        <f t="shared" si="2"/>
        <v>4</v>
      </c>
      <c r="N23" t="s">
        <v>29</v>
      </c>
      <c r="O23" t="s">
        <v>26</v>
      </c>
      <c r="P23">
        <v>0</v>
      </c>
      <c r="Q23">
        <v>12569</v>
      </c>
      <c r="R23" s="5">
        <v>2993.2841530054602</v>
      </c>
      <c r="S23">
        <f t="shared" si="3"/>
        <v>5</v>
      </c>
      <c r="T23" s="4">
        <f t="shared" si="0"/>
        <v>1332.1162167577397</v>
      </c>
    </row>
    <row r="24" spans="1:20" x14ac:dyDescent="0.3">
      <c r="A24" t="s">
        <v>5</v>
      </c>
      <c r="B24" t="s">
        <v>27</v>
      </c>
      <c r="C24">
        <v>0</v>
      </c>
      <c r="D24">
        <v>1786.5640000000001</v>
      </c>
      <c r="E24" s="5">
        <v>503.65834520547901</v>
      </c>
      <c r="F24">
        <f t="shared" si="1"/>
        <v>13</v>
      </c>
      <c r="G24" t="s">
        <v>28</v>
      </c>
      <c r="H24" t="s">
        <v>27</v>
      </c>
      <c r="I24">
        <v>0</v>
      </c>
      <c r="J24">
        <v>1637.4970000000001</v>
      </c>
      <c r="K24" s="5">
        <v>91.980263013698604</v>
      </c>
      <c r="L24">
        <f t="shared" si="2"/>
        <v>10</v>
      </c>
      <c r="N24" t="s">
        <v>29</v>
      </c>
      <c r="O24" t="s">
        <v>27</v>
      </c>
      <c r="P24">
        <v>123</v>
      </c>
      <c r="Q24">
        <v>8513</v>
      </c>
      <c r="R24" s="5">
        <v>1546.58241758242</v>
      </c>
      <c r="S24">
        <f t="shared" si="3"/>
        <v>13</v>
      </c>
      <c r="T24" s="4">
        <f t="shared" si="0"/>
        <v>714.07367526719918</v>
      </c>
    </row>
    <row r="27" spans="1:20" x14ac:dyDescent="0.3">
      <c r="I27" s="4">
        <f>AVERAGE(I29:I50)</f>
        <v>102.87070913718365</v>
      </c>
      <c r="P27" s="4">
        <f>AVERAGE(P29:P50)</f>
        <v>47.058011679144833</v>
      </c>
    </row>
    <row r="28" spans="1:20" x14ac:dyDescent="0.3">
      <c r="E28" t="s">
        <v>0</v>
      </c>
      <c r="F28" t="s">
        <v>1</v>
      </c>
      <c r="G28" t="s">
        <v>2</v>
      </c>
      <c r="H28" t="s">
        <v>3</v>
      </c>
      <c r="I28" t="s">
        <v>4</v>
      </c>
      <c r="L28" t="s">
        <v>0</v>
      </c>
      <c r="M28" t="s">
        <v>1</v>
      </c>
      <c r="N28" t="s">
        <v>2</v>
      </c>
      <c r="O28" t="s">
        <v>3</v>
      </c>
      <c r="P28" t="s">
        <v>4</v>
      </c>
    </row>
    <row r="29" spans="1:20" x14ac:dyDescent="0.3">
      <c r="E29" t="s">
        <v>30</v>
      </c>
      <c r="F29" t="s">
        <v>6</v>
      </c>
      <c r="G29">
        <v>0.44</v>
      </c>
      <c r="H29">
        <v>753</v>
      </c>
      <c r="I29" s="5">
        <v>62.905819672131102</v>
      </c>
      <c r="L29" t="s">
        <v>31</v>
      </c>
      <c r="M29" t="s">
        <v>6</v>
      </c>
      <c r="N29">
        <v>0</v>
      </c>
      <c r="O29">
        <v>2572.98</v>
      </c>
      <c r="P29" s="5">
        <v>81.426775956284203</v>
      </c>
    </row>
    <row r="30" spans="1:20" x14ac:dyDescent="0.3">
      <c r="E30" t="s">
        <v>30</v>
      </c>
      <c r="F30" t="s">
        <v>7</v>
      </c>
      <c r="G30">
        <v>13</v>
      </c>
      <c r="H30">
        <v>398</v>
      </c>
      <c r="I30" s="5">
        <v>112.175342465753</v>
      </c>
      <c r="L30" t="s">
        <v>31</v>
      </c>
      <c r="M30" t="s">
        <v>7</v>
      </c>
      <c r="N30">
        <v>0</v>
      </c>
      <c r="O30">
        <v>1074.0999999999999</v>
      </c>
      <c r="P30" s="5">
        <v>105.44095890411</v>
      </c>
    </row>
    <row r="31" spans="1:20" x14ac:dyDescent="0.3">
      <c r="E31" t="s">
        <v>30</v>
      </c>
      <c r="F31" t="s">
        <v>8</v>
      </c>
      <c r="G31">
        <v>5.2</v>
      </c>
      <c r="H31">
        <v>231</v>
      </c>
      <c r="I31" s="5">
        <v>55.826575342465802</v>
      </c>
      <c r="L31" t="s">
        <v>31</v>
      </c>
      <c r="M31" t="s">
        <v>8</v>
      </c>
      <c r="N31">
        <v>0</v>
      </c>
      <c r="O31">
        <v>373.15</v>
      </c>
      <c r="P31" s="5">
        <v>17.4825753424658</v>
      </c>
    </row>
    <row r="32" spans="1:20" x14ac:dyDescent="0.3">
      <c r="E32" t="s">
        <v>30</v>
      </c>
      <c r="F32" t="s">
        <v>9</v>
      </c>
      <c r="G32">
        <v>0.56999999999999995</v>
      </c>
      <c r="H32">
        <v>289</v>
      </c>
      <c r="I32" s="5">
        <v>90.711315068493093</v>
      </c>
      <c r="L32" t="s">
        <v>31</v>
      </c>
      <c r="M32" t="s">
        <v>9</v>
      </c>
      <c r="N32">
        <v>0</v>
      </c>
      <c r="O32">
        <v>828.93</v>
      </c>
      <c r="P32" s="5">
        <v>66.658821917808197</v>
      </c>
    </row>
    <row r="33" spans="5:16" x14ac:dyDescent="0.3">
      <c r="E33" t="s">
        <v>30</v>
      </c>
      <c r="F33" t="s">
        <v>10</v>
      </c>
      <c r="G33">
        <v>23</v>
      </c>
      <c r="H33">
        <v>270</v>
      </c>
      <c r="I33" s="5">
        <v>97.989071038251396</v>
      </c>
      <c r="L33" t="s">
        <v>31</v>
      </c>
      <c r="M33" t="s">
        <v>10</v>
      </c>
      <c r="N33">
        <v>0</v>
      </c>
      <c r="O33">
        <v>640.65</v>
      </c>
      <c r="P33" s="5">
        <v>36.666584699453601</v>
      </c>
    </row>
    <row r="34" spans="5:16" x14ac:dyDescent="0.3">
      <c r="E34" t="s">
        <v>30</v>
      </c>
      <c r="F34" t="s">
        <v>11</v>
      </c>
      <c r="G34">
        <v>4.3</v>
      </c>
      <c r="H34">
        <v>190</v>
      </c>
      <c r="I34" s="5">
        <v>76.035068493150703</v>
      </c>
      <c r="L34" t="s">
        <v>31</v>
      </c>
      <c r="M34" t="s">
        <v>11</v>
      </c>
      <c r="N34">
        <v>0</v>
      </c>
      <c r="O34">
        <v>181.46</v>
      </c>
      <c r="P34" s="5">
        <v>5.8908219178082204</v>
      </c>
    </row>
    <row r="35" spans="5:16" x14ac:dyDescent="0.3">
      <c r="E35" t="s">
        <v>30</v>
      </c>
      <c r="F35" t="s">
        <v>12</v>
      </c>
      <c r="G35">
        <v>10</v>
      </c>
      <c r="H35">
        <v>363</v>
      </c>
      <c r="I35" s="5">
        <v>117.93698630137</v>
      </c>
      <c r="L35" t="s">
        <v>31</v>
      </c>
      <c r="M35" t="s">
        <v>12</v>
      </c>
      <c r="N35">
        <v>0</v>
      </c>
      <c r="O35">
        <v>663.7</v>
      </c>
      <c r="P35" s="5">
        <v>32.089561643835602</v>
      </c>
    </row>
    <row r="36" spans="5:16" x14ac:dyDescent="0.3">
      <c r="E36" t="s">
        <v>30</v>
      </c>
      <c r="F36" t="s">
        <v>13</v>
      </c>
      <c r="G36">
        <v>2.9</v>
      </c>
      <c r="H36">
        <v>313</v>
      </c>
      <c r="I36" s="5">
        <v>80.773972602739704</v>
      </c>
      <c r="L36" t="s">
        <v>31</v>
      </c>
      <c r="M36" t="s">
        <v>13</v>
      </c>
      <c r="N36">
        <v>0</v>
      </c>
      <c r="O36">
        <v>497.75</v>
      </c>
      <c r="P36" s="5">
        <v>13.1615342465753</v>
      </c>
    </row>
    <row r="37" spans="5:16" x14ac:dyDescent="0.3">
      <c r="E37" t="s">
        <v>30</v>
      </c>
      <c r="F37" t="s">
        <v>14</v>
      </c>
      <c r="G37">
        <v>18</v>
      </c>
      <c r="H37">
        <v>527</v>
      </c>
      <c r="I37" s="5">
        <v>101.655737704918</v>
      </c>
      <c r="L37" t="s">
        <v>31</v>
      </c>
      <c r="M37" t="s">
        <v>14</v>
      </c>
      <c r="N37">
        <v>0</v>
      </c>
      <c r="O37">
        <v>2077.65</v>
      </c>
      <c r="P37" s="5">
        <v>79.94</v>
      </c>
    </row>
    <row r="38" spans="5:16" x14ac:dyDescent="0.3">
      <c r="E38" t="s">
        <v>30</v>
      </c>
      <c r="F38" t="s">
        <v>15</v>
      </c>
      <c r="G38">
        <v>12</v>
      </c>
      <c r="H38">
        <v>407</v>
      </c>
      <c r="I38" s="5">
        <v>131.72876712328801</v>
      </c>
      <c r="L38" t="s">
        <v>31</v>
      </c>
      <c r="M38" t="s">
        <v>15</v>
      </c>
      <c r="N38">
        <v>0</v>
      </c>
      <c r="O38">
        <v>1112.81</v>
      </c>
      <c r="P38" s="5">
        <v>64.847068493150701</v>
      </c>
    </row>
    <row r="39" spans="5:16" x14ac:dyDescent="0.3">
      <c r="E39" t="s">
        <v>30</v>
      </c>
      <c r="F39" t="s">
        <v>16</v>
      </c>
      <c r="G39">
        <v>20</v>
      </c>
      <c r="H39">
        <v>351</v>
      </c>
      <c r="I39" s="5">
        <v>142.03013698630099</v>
      </c>
      <c r="L39" t="s">
        <v>31</v>
      </c>
      <c r="M39" t="s">
        <v>16</v>
      </c>
      <c r="N39">
        <v>0</v>
      </c>
      <c r="O39">
        <v>563.04999999999995</v>
      </c>
      <c r="P39" s="5">
        <v>29.291452054794501</v>
      </c>
    </row>
    <row r="40" spans="5:16" x14ac:dyDescent="0.3">
      <c r="E40" t="s">
        <v>30</v>
      </c>
      <c r="F40" t="s">
        <v>17</v>
      </c>
      <c r="G40">
        <v>9.1999999999999993</v>
      </c>
      <c r="H40">
        <v>394</v>
      </c>
      <c r="I40" s="5">
        <v>88.658082191780807</v>
      </c>
      <c r="L40" t="s">
        <v>31</v>
      </c>
      <c r="M40" t="s">
        <v>17</v>
      </c>
      <c r="N40">
        <v>0</v>
      </c>
      <c r="O40">
        <v>612.24</v>
      </c>
      <c r="P40" s="5">
        <v>15.2118356164384</v>
      </c>
    </row>
    <row r="41" spans="5:16" x14ac:dyDescent="0.3">
      <c r="E41" t="s">
        <v>30</v>
      </c>
      <c r="F41" t="s">
        <v>18</v>
      </c>
      <c r="G41">
        <v>9.81</v>
      </c>
      <c r="H41">
        <v>313</v>
      </c>
      <c r="I41" s="5">
        <v>114.18647540983601</v>
      </c>
      <c r="L41" t="s">
        <v>31</v>
      </c>
      <c r="M41" t="s">
        <v>18</v>
      </c>
      <c r="N41">
        <v>0</v>
      </c>
      <c r="O41">
        <v>723.24</v>
      </c>
      <c r="P41" s="5">
        <v>36.847158469945398</v>
      </c>
    </row>
    <row r="42" spans="5:16" x14ac:dyDescent="0.3">
      <c r="E42" t="s">
        <v>30</v>
      </c>
      <c r="F42" t="s">
        <v>19</v>
      </c>
      <c r="G42">
        <v>15.2</v>
      </c>
      <c r="H42">
        <v>749</v>
      </c>
      <c r="I42" s="5">
        <v>72.850958904109604</v>
      </c>
      <c r="L42" t="s">
        <v>31</v>
      </c>
      <c r="M42" t="s">
        <v>19</v>
      </c>
      <c r="N42">
        <v>0</v>
      </c>
      <c r="O42">
        <v>1675.01</v>
      </c>
      <c r="P42" s="5">
        <v>120.546465753425</v>
      </c>
    </row>
    <row r="43" spans="5:16" x14ac:dyDescent="0.3">
      <c r="E43" t="s">
        <v>30</v>
      </c>
      <c r="F43" t="s">
        <v>20</v>
      </c>
      <c r="G43">
        <v>0</v>
      </c>
      <c r="H43">
        <v>451</v>
      </c>
      <c r="I43" s="5">
        <v>104.418301369863</v>
      </c>
      <c r="L43" t="s">
        <v>31</v>
      </c>
      <c r="M43" t="s">
        <v>20</v>
      </c>
      <c r="N43">
        <v>0</v>
      </c>
      <c r="O43">
        <v>1022.42</v>
      </c>
      <c r="P43" s="5">
        <v>101.149889196676</v>
      </c>
    </row>
    <row r="44" spans="5:16" x14ac:dyDescent="0.3">
      <c r="E44" t="s">
        <v>30</v>
      </c>
      <c r="F44" t="s">
        <v>21</v>
      </c>
      <c r="G44">
        <v>0</v>
      </c>
      <c r="H44">
        <v>417</v>
      </c>
      <c r="I44" s="5">
        <v>115.97898630137</v>
      </c>
      <c r="L44" t="s">
        <v>31</v>
      </c>
      <c r="M44" t="s">
        <v>21</v>
      </c>
      <c r="N44">
        <v>0</v>
      </c>
      <c r="O44">
        <v>864.1</v>
      </c>
      <c r="P44" s="5">
        <v>40.503999999999998</v>
      </c>
    </row>
    <row r="45" spans="5:16" x14ac:dyDescent="0.3">
      <c r="E45" t="s">
        <v>30</v>
      </c>
      <c r="F45" t="s">
        <v>22</v>
      </c>
      <c r="G45">
        <v>0</v>
      </c>
      <c r="H45">
        <v>442</v>
      </c>
      <c r="I45" s="5">
        <v>169.601420765027</v>
      </c>
      <c r="L45" t="s">
        <v>31</v>
      </c>
      <c r="M45" t="s">
        <v>22</v>
      </c>
      <c r="N45">
        <v>0</v>
      </c>
      <c r="O45">
        <v>1143.04</v>
      </c>
      <c r="P45" s="5">
        <v>72.1868579234973</v>
      </c>
    </row>
    <row r="46" spans="5:16" x14ac:dyDescent="0.3">
      <c r="E46" t="s">
        <v>30</v>
      </c>
      <c r="F46" t="s">
        <v>23</v>
      </c>
      <c r="G46">
        <v>0</v>
      </c>
      <c r="H46">
        <v>421</v>
      </c>
      <c r="I46" s="5">
        <v>122.618356164384</v>
      </c>
      <c r="L46" t="s">
        <v>31</v>
      </c>
      <c r="M46" t="s">
        <v>23</v>
      </c>
      <c r="N46">
        <v>0</v>
      </c>
      <c r="O46">
        <v>234.2</v>
      </c>
      <c r="P46" s="5">
        <v>3.26183561643836</v>
      </c>
    </row>
    <row r="47" spans="5:16" x14ac:dyDescent="0.3">
      <c r="E47" t="s">
        <v>30</v>
      </c>
      <c r="F47" t="s">
        <v>24</v>
      </c>
      <c r="G47">
        <v>3.07</v>
      </c>
      <c r="H47">
        <v>479</v>
      </c>
      <c r="I47" s="5">
        <v>106.061205479452</v>
      </c>
      <c r="L47" t="s">
        <v>31</v>
      </c>
      <c r="M47" t="s">
        <v>24</v>
      </c>
      <c r="N47">
        <v>0</v>
      </c>
      <c r="O47">
        <v>1793.56</v>
      </c>
      <c r="P47" s="5">
        <v>24.030494505494499</v>
      </c>
    </row>
    <row r="48" spans="5:16" x14ac:dyDescent="0.3">
      <c r="E48" t="s">
        <v>30</v>
      </c>
      <c r="F48" t="s">
        <v>25</v>
      </c>
      <c r="G48">
        <v>0.7</v>
      </c>
      <c r="H48">
        <v>295</v>
      </c>
      <c r="I48" s="5">
        <v>112.69698630137</v>
      </c>
      <c r="L48" t="s">
        <v>31</v>
      </c>
      <c r="M48" t="s">
        <v>25</v>
      </c>
      <c r="N48">
        <v>0</v>
      </c>
      <c r="O48">
        <v>479.61</v>
      </c>
      <c r="P48" s="5">
        <v>14.095342465753401</v>
      </c>
    </row>
    <row r="49" spans="1:18" x14ac:dyDescent="0.3">
      <c r="E49" t="s">
        <v>30</v>
      </c>
      <c r="F49" t="s">
        <v>26</v>
      </c>
      <c r="G49">
        <v>6.93</v>
      </c>
      <c r="H49">
        <v>295</v>
      </c>
      <c r="I49" s="5">
        <v>121.577103825137</v>
      </c>
      <c r="L49" t="s">
        <v>31</v>
      </c>
      <c r="M49" t="s">
        <v>26</v>
      </c>
      <c r="N49">
        <v>0</v>
      </c>
      <c r="O49">
        <v>1025.6400000000001</v>
      </c>
      <c r="P49" s="5">
        <v>47.304890710382502</v>
      </c>
    </row>
    <row r="50" spans="1:18" x14ac:dyDescent="0.3">
      <c r="E50" t="s">
        <v>30</v>
      </c>
      <c r="F50" t="s">
        <v>27</v>
      </c>
      <c r="G50">
        <v>0</v>
      </c>
      <c r="H50">
        <v>384</v>
      </c>
      <c r="I50" s="5">
        <v>64.738931506849298</v>
      </c>
      <c r="L50" t="s">
        <v>31</v>
      </c>
      <c r="M50" t="s">
        <v>27</v>
      </c>
      <c r="N50">
        <v>0</v>
      </c>
      <c r="O50">
        <v>1253.4970000000001</v>
      </c>
      <c r="P50" s="5">
        <v>27.241331506849299</v>
      </c>
    </row>
    <row r="53" spans="1:18" x14ac:dyDescent="0.3">
      <c r="A53" t="s">
        <v>0</v>
      </c>
      <c r="B53" t="s">
        <v>556</v>
      </c>
      <c r="C53" t="s">
        <v>4</v>
      </c>
      <c r="G53" t="s">
        <v>0</v>
      </c>
      <c r="H53" t="s">
        <v>556</v>
      </c>
      <c r="I53" t="s">
        <v>4</v>
      </c>
      <c r="N53" t="s">
        <v>0</v>
      </c>
      <c r="O53" t="s">
        <v>555</v>
      </c>
      <c r="P53" t="s">
        <v>4</v>
      </c>
      <c r="Q53" t="s">
        <v>558</v>
      </c>
      <c r="R53" t="s">
        <v>559</v>
      </c>
    </row>
    <row r="54" spans="1:18" x14ac:dyDescent="0.3">
      <c r="A54" t="s">
        <v>5</v>
      </c>
      <c r="B54" s="6">
        <v>45580</v>
      </c>
      <c r="C54">
        <v>1318.22</v>
      </c>
      <c r="E54" s="5"/>
      <c r="G54" t="s">
        <v>28</v>
      </c>
      <c r="H54" s="6">
        <v>45580</v>
      </c>
      <c r="I54" s="12">
        <v>505.72</v>
      </c>
      <c r="K54" s="5"/>
      <c r="N54" t="s">
        <v>29</v>
      </c>
      <c r="O54" s="6">
        <v>45580</v>
      </c>
      <c r="P54" s="3">
        <v>3094.32</v>
      </c>
      <c r="Q54" t="str">
        <f>IF(P54&lt;227, "1", "")</f>
        <v/>
      </c>
      <c r="R54" s="5" t="str">
        <f>IF(P54&gt;2177, "1","")</f>
        <v>1</v>
      </c>
    </row>
    <row r="55" spans="1:18" x14ac:dyDescent="0.3">
      <c r="A55" t="s">
        <v>5</v>
      </c>
      <c r="B55" s="6">
        <v>45611</v>
      </c>
      <c r="C55">
        <v>245.07</v>
      </c>
      <c r="E55" s="5"/>
      <c r="G55" t="s">
        <v>28</v>
      </c>
      <c r="H55" s="6">
        <v>45611</v>
      </c>
      <c r="I55">
        <v>71.63</v>
      </c>
      <c r="K55" s="5"/>
      <c r="N55" t="s">
        <v>29</v>
      </c>
      <c r="O55" s="6">
        <v>45611</v>
      </c>
      <c r="P55" s="3">
        <v>1870.8</v>
      </c>
      <c r="Q55" t="str">
        <f t="shared" ref="Q55:Q65" si="4">IF(P55&lt;227, "1", "")</f>
        <v/>
      </c>
      <c r="R55" s="5" t="str">
        <f t="shared" ref="R55:R65" si="5">IF(P55&gt;2177, "1","")</f>
        <v/>
      </c>
    </row>
    <row r="56" spans="1:18" x14ac:dyDescent="0.3">
      <c r="A56" t="s">
        <v>5</v>
      </c>
      <c r="B56" s="6">
        <v>45641</v>
      </c>
      <c r="C56">
        <v>1034.32</v>
      </c>
      <c r="E56" s="5"/>
      <c r="G56" t="s">
        <v>28</v>
      </c>
      <c r="H56" s="6">
        <v>45641</v>
      </c>
      <c r="I56">
        <v>39.950000000000003</v>
      </c>
      <c r="K56" s="5"/>
      <c r="N56" t="s">
        <v>29</v>
      </c>
      <c r="O56" s="6">
        <v>45641</v>
      </c>
      <c r="P56" s="3">
        <v>2146.65</v>
      </c>
      <c r="Q56" t="str">
        <f t="shared" si="4"/>
        <v/>
      </c>
      <c r="R56" s="5" t="str">
        <f t="shared" si="5"/>
        <v/>
      </c>
    </row>
    <row r="57" spans="1:18" x14ac:dyDescent="0.3">
      <c r="A57" t="s">
        <v>5</v>
      </c>
      <c r="B57" s="6">
        <v>45672</v>
      </c>
      <c r="C57">
        <v>1299.8800000000001</v>
      </c>
      <c r="E57" s="5"/>
      <c r="G57" t="s">
        <v>28</v>
      </c>
      <c r="H57" s="6">
        <v>45672</v>
      </c>
      <c r="I57">
        <v>38.19</v>
      </c>
      <c r="K57" s="5"/>
      <c r="N57" t="s">
        <v>29</v>
      </c>
      <c r="O57" s="6">
        <v>45672</v>
      </c>
      <c r="P57" s="3">
        <v>1835.06</v>
      </c>
      <c r="Q57" t="str">
        <f t="shared" si="4"/>
        <v/>
      </c>
      <c r="R57" s="5" t="str">
        <f t="shared" si="5"/>
        <v/>
      </c>
    </row>
    <row r="58" spans="1:18" x14ac:dyDescent="0.3">
      <c r="A58" t="s">
        <v>5</v>
      </c>
      <c r="B58" s="6">
        <v>45703</v>
      </c>
      <c r="C58">
        <v>1251.52</v>
      </c>
      <c r="E58" s="5"/>
      <c r="G58" t="s">
        <v>28</v>
      </c>
      <c r="H58" s="6">
        <v>45703</v>
      </c>
      <c r="I58">
        <v>32.619999999999997</v>
      </c>
      <c r="K58" s="5"/>
      <c r="N58" t="s">
        <v>29</v>
      </c>
      <c r="O58" s="6">
        <v>45703</v>
      </c>
      <c r="P58" s="3">
        <v>2124.64</v>
      </c>
      <c r="Q58" t="str">
        <f t="shared" si="4"/>
        <v/>
      </c>
      <c r="R58" s="5" t="str">
        <f t="shared" si="5"/>
        <v/>
      </c>
    </row>
    <row r="59" spans="1:18" x14ac:dyDescent="0.3">
      <c r="A59" t="s">
        <v>5</v>
      </c>
      <c r="B59" s="6">
        <v>45731</v>
      </c>
      <c r="C59">
        <v>923.65</v>
      </c>
      <c r="E59" s="5"/>
      <c r="G59" t="s">
        <v>28</v>
      </c>
      <c r="H59" s="6">
        <v>45731</v>
      </c>
      <c r="I59">
        <v>36.56</v>
      </c>
      <c r="K59" s="5"/>
      <c r="N59" t="s">
        <v>29</v>
      </c>
      <c r="O59" s="6">
        <v>45731</v>
      </c>
      <c r="P59" s="3">
        <v>1883.74</v>
      </c>
      <c r="Q59" t="str">
        <f t="shared" si="4"/>
        <v/>
      </c>
      <c r="R59" s="5" t="str">
        <f t="shared" si="5"/>
        <v/>
      </c>
    </row>
    <row r="60" spans="1:18" x14ac:dyDescent="0.3">
      <c r="A60" t="s">
        <v>5</v>
      </c>
      <c r="B60" s="6">
        <v>45762</v>
      </c>
      <c r="C60">
        <v>7.79</v>
      </c>
      <c r="E60" s="5"/>
      <c r="G60" t="s">
        <v>28</v>
      </c>
      <c r="H60" s="6">
        <v>45762</v>
      </c>
      <c r="I60">
        <v>35.200000000000003</v>
      </c>
      <c r="K60" s="5"/>
      <c r="N60" t="s">
        <v>29</v>
      </c>
      <c r="O60" s="6">
        <v>45762</v>
      </c>
      <c r="P60" s="3">
        <v>1002.1</v>
      </c>
      <c r="Q60" t="str">
        <f t="shared" si="4"/>
        <v/>
      </c>
      <c r="R60" s="5" t="str">
        <f t="shared" si="5"/>
        <v/>
      </c>
    </row>
    <row r="61" spans="1:18" x14ac:dyDescent="0.3">
      <c r="A61" t="s">
        <v>5</v>
      </c>
      <c r="B61" s="6">
        <v>45792</v>
      </c>
      <c r="C61">
        <v>58.01</v>
      </c>
      <c r="E61" s="5"/>
      <c r="G61" t="s">
        <v>28</v>
      </c>
      <c r="H61" s="6">
        <v>45792</v>
      </c>
      <c r="I61">
        <v>6.01</v>
      </c>
      <c r="K61" s="5"/>
      <c r="N61" t="s">
        <v>29</v>
      </c>
      <c r="O61" s="6">
        <v>45792</v>
      </c>
      <c r="P61" s="3">
        <v>501.84</v>
      </c>
      <c r="Q61" t="str">
        <f t="shared" si="4"/>
        <v/>
      </c>
      <c r="R61" s="5" t="str">
        <f t="shared" si="5"/>
        <v/>
      </c>
    </row>
    <row r="62" spans="1:18" x14ac:dyDescent="0.3">
      <c r="A62" t="s">
        <v>5</v>
      </c>
      <c r="B62" s="6">
        <v>45823</v>
      </c>
      <c r="C62">
        <v>268.86</v>
      </c>
      <c r="E62" s="5"/>
      <c r="G62" t="s">
        <v>28</v>
      </c>
      <c r="H62" s="6">
        <v>45823</v>
      </c>
      <c r="I62">
        <v>18.399999999999999</v>
      </c>
      <c r="K62" s="5"/>
      <c r="N62" t="s">
        <v>29</v>
      </c>
      <c r="O62" s="6">
        <v>45823</v>
      </c>
      <c r="P62" s="3">
        <v>790.27</v>
      </c>
      <c r="Q62" t="str">
        <f t="shared" si="4"/>
        <v/>
      </c>
      <c r="R62" s="5" t="str">
        <f t="shared" si="5"/>
        <v/>
      </c>
    </row>
    <row r="63" spans="1:18" x14ac:dyDescent="0.3">
      <c r="A63" t="s">
        <v>5</v>
      </c>
      <c r="B63" s="6">
        <v>45853</v>
      </c>
      <c r="C63">
        <v>846.59</v>
      </c>
      <c r="D63">
        <f>AVERAGE(C63:C65)</f>
        <v>662.05666666666673</v>
      </c>
      <c r="E63" s="5"/>
      <c r="G63" t="s">
        <v>28</v>
      </c>
      <c r="H63" s="6">
        <v>45853</v>
      </c>
      <c r="I63">
        <v>20.73</v>
      </c>
      <c r="K63" s="5"/>
      <c r="N63" t="s">
        <v>29</v>
      </c>
      <c r="O63" s="6">
        <v>45853</v>
      </c>
      <c r="P63" s="3">
        <v>2167.9699999999998</v>
      </c>
      <c r="Q63" t="str">
        <f t="shared" si="4"/>
        <v/>
      </c>
      <c r="R63" s="5" t="str">
        <f t="shared" si="5"/>
        <v/>
      </c>
    </row>
    <row r="64" spans="1:18" x14ac:dyDescent="0.3">
      <c r="A64" t="s">
        <v>5</v>
      </c>
      <c r="B64" s="6">
        <v>45884</v>
      </c>
      <c r="C64">
        <v>446.1</v>
      </c>
      <c r="E64" s="5"/>
      <c r="G64" t="s">
        <v>28</v>
      </c>
      <c r="H64" s="6">
        <v>45884</v>
      </c>
      <c r="I64">
        <v>31.19</v>
      </c>
      <c r="K64" s="5"/>
      <c r="N64" t="s">
        <v>29</v>
      </c>
      <c r="O64" s="6">
        <v>45884</v>
      </c>
      <c r="P64" s="3">
        <v>2169.13</v>
      </c>
      <c r="Q64" t="str">
        <f t="shared" si="4"/>
        <v/>
      </c>
      <c r="R64" s="5" t="str">
        <f t="shared" si="5"/>
        <v/>
      </c>
    </row>
    <row r="65" spans="1:18" x14ac:dyDescent="0.3">
      <c r="A65" t="s">
        <v>5</v>
      </c>
      <c r="B65" s="6">
        <v>45915</v>
      </c>
      <c r="C65">
        <v>693.48</v>
      </c>
      <c r="E65" s="5"/>
      <c r="G65" t="s">
        <v>28</v>
      </c>
      <c r="H65" s="6">
        <v>45915</v>
      </c>
      <c r="I65" s="12">
        <v>160.80000000000001</v>
      </c>
      <c r="K65" s="5"/>
      <c r="N65" t="s">
        <v>29</v>
      </c>
      <c r="O65" s="6">
        <v>45915</v>
      </c>
      <c r="P65" s="3">
        <v>4260.97</v>
      </c>
      <c r="Q65" t="str">
        <f t="shared" si="4"/>
        <v/>
      </c>
      <c r="R65" s="5" t="str">
        <f t="shared" si="5"/>
        <v>1</v>
      </c>
    </row>
    <row r="66" spans="1:18" x14ac:dyDescent="0.3">
      <c r="E66" s="5"/>
      <c r="K66" s="5"/>
      <c r="R66" s="5"/>
    </row>
    <row r="67" spans="1:18" x14ac:dyDescent="0.3">
      <c r="E67" s="5"/>
      <c r="K67" s="5"/>
      <c r="R67" s="5"/>
    </row>
    <row r="68" spans="1:18" x14ac:dyDescent="0.3">
      <c r="E68" t="s">
        <v>0</v>
      </c>
      <c r="F68" t="s">
        <v>556</v>
      </c>
      <c r="G68" t="s">
        <v>4</v>
      </c>
      <c r="I68" t="s">
        <v>0</v>
      </c>
      <c r="J68" t="s">
        <v>556</v>
      </c>
      <c r="K68" t="s">
        <v>4</v>
      </c>
      <c r="R68" s="5"/>
    </row>
    <row r="69" spans="1:18" x14ac:dyDescent="0.3">
      <c r="E69" t="s">
        <v>30</v>
      </c>
      <c r="F69" s="6">
        <v>45580</v>
      </c>
      <c r="G69" s="12">
        <v>232.42</v>
      </c>
      <c r="I69" t="s">
        <v>31</v>
      </c>
      <c r="J69" s="6">
        <v>45580</v>
      </c>
      <c r="K69">
        <v>273.3</v>
      </c>
      <c r="R69" s="5"/>
    </row>
    <row r="70" spans="1:18" x14ac:dyDescent="0.3">
      <c r="E70" t="s">
        <v>30</v>
      </c>
      <c r="F70" s="6">
        <v>45611</v>
      </c>
      <c r="G70">
        <v>71.63</v>
      </c>
      <c r="I70" t="s">
        <v>31</v>
      </c>
      <c r="J70" s="6">
        <v>45611</v>
      </c>
      <c r="K70">
        <v>0</v>
      </c>
      <c r="R70" s="5"/>
    </row>
    <row r="71" spans="1:18" x14ac:dyDescent="0.3">
      <c r="E71" t="s">
        <v>30</v>
      </c>
      <c r="F71" s="6">
        <v>45641</v>
      </c>
      <c r="G71">
        <v>39.950000000000003</v>
      </c>
      <c r="I71" t="s">
        <v>31</v>
      </c>
      <c r="J71" s="6">
        <v>45641</v>
      </c>
      <c r="K71">
        <v>0</v>
      </c>
      <c r="R71" s="5"/>
    </row>
    <row r="72" spans="1:18" x14ac:dyDescent="0.3">
      <c r="E72" t="s">
        <v>30</v>
      </c>
      <c r="F72" s="6">
        <v>45672</v>
      </c>
      <c r="G72">
        <v>38.19</v>
      </c>
      <c r="I72" t="s">
        <v>31</v>
      </c>
      <c r="J72" s="6">
        <v>45672</v>
      </c>
      <c r="K72">
        <v>0</v>
      </c>
      <c r="R72" s="5"/>
    </row>
    <row r="73" spans="1:18" x14ac:dyDescent="0.3">
      <c r="E73" t="s">
        <v>30</v>
      </c>
      <c r="F73" s="6">
        <v>45703</v>
      </c>
      <c r="G73">
        <v>32.61</v>
      </c>
      <c r="I73" t="s">
        <v>31</v>
      </c>
      <c r="J73" s="6">
        <v>45703</v>
      </c>
      <c r="K73">
        <v>0</v>
      </c>
      <c r="R73" s="5"/>
    </row>
    <row r="74" spans="1:18" x14ac:dyDescent="0.3">
      <c r="E74" t="s">
        <v>30</v>
      </c>
      <c r="F74" s="6">
        <v>45731</v>
      </c>
      <c r="G74">
        <v>36.56</v>
      </c>
      <c r="I74" t="s">
        <v>31</v>
      </c>
      <c r="J74" s="6">
        <v>45731</v>
      </c>
      <c r="K74">
        <v>0</v>
      </c>
      <c r="R74" s="5"/>
    </row>
    <row r="75" spans="1:18" x14ac:dyDescent="0.3">
      <c r="E75" t="s">
        <v>30</v>
      </c>
      <c r="F75" s="6">
        <v>45762</v>
      </c>
      <c r="G75">
        <v>35.19</v>
      </c>
      <c r="I75" t="s">
        <v>31</v>
      </c>
      <c r="J75" s="6">
        <v>45762</v>
      </c>
      <c r="K75">
        <v>0</v>
      </c>
      <c r="R75" s="5"/>
    </row>
    <row r="76" spans="1:18" x14ac:dyDescent="0.3">
      <c r="E76" t="s">
        <v>30</v>
      </c>
      <c r="F76" s="6">
        <v>45792</v>
      </c>
      <c r="G76">
        <v>6.01</v>
      </c>
      <c r="I76" t="s">
        <v>31</v>
      </c>
      <c r="J76" s="6">
        <v>45792</v>
      </c>
      <c r="K76">
        <v>0</v>
      </c>
    </row>
    <row r="77" spans="1:18" x14ac:dyDescent="0.3">
      <c r="E77" t="s">
        <v>30</v>
      </c>
      <c r="F77" s="6">
        <v>45823</v>
      </c>
      <c r="G77">
        <v>18.39</v>
      </c>
      <c r="I77" t="s">
        <v>31</v>
      </c>
      <c r="J77" s="6">
        <v>45823</v>
      </c>
      <c r="K77">
        <v>0</v>
      </c>
    </row>
    <row r="78" spans="1:18" x14ac:dyDescent="0.3">
      <c r="E78" t="s">
        <v>30</v>
      </c>
      <c r="F78" s="6">
        <v>45853</v>
      </c>
      <c r="G78">
        <v>20.72</v>
      </c>
      <c r="I78" t="s">
        <v>31</v>
      </c>
      <c r="J78" s="6">
        <v>45853</v>
      </c>
      <c r="K78">
        <v>0</v>
      </c>
    </row>
    <row r="79" spans="1:18" x14ac:dyDescent="0.3">
      <c r="E79" t="s">
        <v>30</v>
      </c>
      <c r="F79" s="6">
        <v>45884</v>
      </c>
      <c r="G79">
        <v>31.18</v>
      </c>
      <c r="I79" t="s">
        <v>31</v>
      </c>
      <c r="J79" s="6">
        <v>45884</v>
      </c>
      <c r="K79">
        <v>0</v>
      </c>
    </row>
    <row r="80" spans="1:18" x14ac:dyDescent="0.3">
      <c r="E80" t="s">
        <v>30</v>
      </c>
      <c r="F80" s="6">
        <v>45915</v>
      </c>
      <c r="G80" s="12">
        <v>132.86000000000001</v>
      </c>
      <c r="I80" t="s">
        <v>31</v>
      </c>
      <c r="J80" s="6">
        <v>45915</v>
      </c>
      <c r="K80">
        <v>27.94</v>
      </c>
    </row>
  </sheetData>
  <conditionalFormatting sqref="P54:P65">
    <cfRule type="colorScale" priority="1">
      <colorScale>
        <cfvo type="min"/>
        <cfvo type="max"/>
        <color rgb="FFFF7128"/>
        <color theme="8"/>
      </colorScale>
    </cfRule>
  </conditionalFormatting>
  <conditionalFormatting sqref="R3:R24">
    <cfRule type="colorScale" priority="2">
      <colorScale>
        <cfvo type="min"/>
        <cfvo type="max"/>
        <color rgb="FFFF7128"/>
        <color theme="8"/>
      </colorScale>
    </cfRule>
  </conditionalFormatting>
  <pageMargins left="0.7" right="0.7" top="0.75" bottom="0.75" header="0.3" footer="0.3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6"/>
  <sheetViews>
    <sheetView workbookViewId="0">
      <selection activeCell="A4" sqref="A4:XFD4"/>
    </sheetView>
  </sheetViews>
  <sheetFormatPr defaultColWidth="11.44140625" defaultRowHeight="14.4" x14ac:dyDescent="0.3"/>
  <sheetData>
    <row r="1" spans="1:26" x14ac:dyDescent="0.3">
      <c r="A1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K1" t="s">
        <v>100</v>
      </c>
      <c r="L1" t="s">
        <v>101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S1" t="s">
        <v>108</v>
      </c>
      <c r="T1" t="s">
        <v>109</v>
      </c>
      <c r="U1" t="s">
        <v>110</v>
      </c>
      <c r="V1" t="s">
        <v>111</v>
      </c>
      <c r="W1" t="s">
        <v>112</v>
      </c>
      <c r="X1" t="s">
        <v>113</v>
      </c>
      <c r="Y1" t="s">
        <v>114</v>
      </c>
      <c r="Z1" t="s">
        <v>115</v>
      </c>
    </row>
    <row r="2" spans="1:26" x14ac:dyDescent="0.3">
      <c r="A2" s="1">
        <v>45567</v>
      </c>
      <c r="B2">
        <v>31.5</v>
      </c>
      <c r="C2">
        <v>31.7</v>
      </c>
      <c r="D2">
        <v>30.2</v>
      </c>
      <c r="E2" s="1">
        <v>45567</v>
      </c>
      <c r="F2">
        <v>31.2</v>
      </c>
      <c r="G2">
        <v>31.5</v>
      </c>
      <c r="H2">
        <v>31.8</v>
      </c>
      <c r="I2" s="1">
        <v>45568</v>
      </c>
      <c r="J2">
        <v>29.4</v>
      </c>
      <c r="K2">
        <v>29.4</v>
      </c>
      <c r="L2">
        <v>29.7</v>
      </c>
      <c r="M2" s="1">
        <v>45568</v>
      </c>
      <c r="N2">
        <v>29.6</v>
      </c>
      <c r="O2">
        <v>30.4</v>
      </c>
      <c r="P2">
        <v>29.5</v>
      </c>
      <c r="Q2" s="1">
        <v>45568</v>
      </c>
      <c r="R2">
        <v>30.1</v>
      </c>
      <c r="S2">
        <v>30.3</v>
      </c>
      <c r="T2">
        <v>30.6</v>
      </c>
      <c r="U2" s="1">
        <v>45588</v>
      </c>
      <c r="V2">
        <v>24.2</v>
      </c>
      <c r="W2">
        <v>25.1</v>
      </c>
      <c r="X2" s="1">
        <v>45588</v>
      </c>
      <c r="Y2">
        <v>25.3</v>
      </c>
      <c r="Z2">
        <v>26.8</v>
      </c>
    </row>
    <row r="3" spans="1:26" x14ac:dyDescent="0.3">
      <c r="A3" s="1">
        <v>45601</v>
      </c>
      <c r="B3">
        <v>25.5</v>
      </c>
      <c r="C3">
        <v>25.5</v>
      </c>
      <c r="D3">
        <v>25.4</v>
      </c>
      <c r="E3" s="1">
        <v>45601</v>
      </c>
      <c r="F3">
        <v>25.3</v>
      </c>
      <c r="G3">
        <v>25.4</v>
      </c>
      <c r="H3">
        <v>25.3</v>
      </c>
      <c r="I3" s="1">
        <v>45602</v>
      </c>
      <c r="J3">
        <v>25.1</v>
      </c>
      <c r="K3">
        <v>25.3</v>
      </c>
      <c r="L3">
        <v>25.3</v>
      </c>
      <c r="M3" s="1">
        <v>45602</v>
      </c>
      <c r="N3">
        <v>25.6</v>
      </c>
      <c r="O3">
        <v>25.5</v>
      </c>
      <c r="P3">
        <v>25.8</v>
      </c>
      <c r="Q3" s="1">
        <v>45602</v>
      </c>
      <c r="R3">
        <v>25.3</v>
      </c>
      <c r="S3">
        <v>25.9</v>
      </c>
      <c r="T3">
        <v>25.9</v>
      </c>
      <c r="U3" s="1">
        <v>45609</v>
      </c>
      <c r="V3">
        <v>26.1</v>
      </c>
      <c r="W3">
        <v>26.2</v>
      </c>
      <c r="X3" s="1">
        <v>45609</v>
      </c>
      <c r="Y3">
        <v>26.4</v>
      </c>
      <c r="Z3">
        <v>26.7</v>
      </c>
    </row>
    <row r="4" spans="1:26" s="15" customFormat="1" x14ac:dyDescent="0.3">
      <c r="A4" s="14">
        <v>45630</v>
      </c>
      <c r="B4" s="15">
        <v>19.600000000000001</v>
      </c>
      <c r="C4" s="15">
        <v>19.7</v>
      </c>
      <c r="D4" s="15">
        <v>19.5</v>
      </c>
      <c r="E4" s="14">
        <v>45630</v>
      </c>
      <c r="F4" s="15">
        <v>19.2</v>
      </c>
      <c r="G4" s="15">
        <v>20.2</v>
      </c>
      <c r="H4" s="15">
        <v>19.2</v>
      </c>
      <c r="I4" s="14">
        <v>45631</v>
      </c>
      <c r="J4" s="15">
        <v>17.899999999999999</v>
      </c>
      <c r="K4" s="15">
        <v>17.2</v>
      </c>
      <c r="L4" s="15">
        <v>17.7</v>
      </c>
      <c r="M4" s="14">
        <v>45631</v>
      </c>
      <c r="N4" s="15">
        <v>17.600000000000001</v>
      </c>
      <c r="O4" s="15">
        <v>18.3</v>
      </c>
      <c r="P4" s="15">
        <v>18</v>
      </c>
      <c r="Q4" s="14">
        <v>45631</v>
      </c>
      <c r="R4" s="15">
        <v>18.100000000000001</v>
      </c>
      <c r="S4" s="15">
        <v>17.899999999999999</v>
      </c>
      <c r="T4" s="15">
        <v>18.2</v>
      </c>
      <c r="U4" s="14">
        <v>45636</v>
      </c>
      <c r="V4" s="15">
        <v>19.399999999999999</v>
      </c>
      <c r="W4" s="15">
        <v>19.600000000000001</v>
      </c>
      <c r="X4" s="14">
        <v>45636</v>
      </c>
      <c r="Y4" s="15">
        <v>20</v>
      </c>
      <c r="Z4" s="15">
        <v>21.2</v>
      </c>
    </row>
    <row r="5" spans="1:26" s="15" customFormat="1" x14ac:dyDescent="0.3">
      <c r="A5" s="14">
        <v>45663</v>
      </c>
      <c r="B5" s="15">
        <v>21.5</v>
      </c>
      <c r="C5" s="15">
        <v>21.6</v>
      </c>
      <c r="D5" s="15">
        <v>21.3</v>
      </c>
      <c r="E5" s="14">
        <v>45663</v>
      </c>
      <c r="F5" s="15">
        <v>21.8</v>
      </c>
      <c r="G5" s="15">
        <v>22</v>
      </c>
      <c r="H5" s="15">
        <v>21.9</v>
      </c>
      <c r="I5" s="14">
        <v>45664</v>
      </c>
      <c r="J5" s="15">
        <v>18.899999999999999</v>
      </c>
      <c r="K5" s="15">
        <v>18</v>
      </c>
      <c r="L5" s="15">
        <v>18.600000000000001</v>
      </c>
      <c r="M5" s="14">
        <v>45664</v>
      </c>
      <c r="N5" s="15">
        <v>18.100000000000001</v>
      </c>
      <c r="O5" s="15">
        <v>18.3</v>
      </c>
      <c r="P5" s="15">
        <v>17.7</v>
      </c>
      <c r="Q5" s="14">
        <v>45664</v>
      </c>
      <c r="R5" s="15">
        <v>18.100000000000001</v>
      </c>
      <c r="S5" s="15">
        <v>18.5</v>
      </c>
      <c r="T5" s="15">
        <v>18.399999999999999</v>
      </c>
      <c r="U5" s="14">
        <v>45670</v>
      </c>
      <c r="V5" s="15">
        <v>16.5</v>
      </c>
      <c r="W5" s="15">
        <v>16.8</v>
      </c>
      <c r="X5" s="14">
        <v>45670</v>
      </c>
      <c r="Y5" s="15">
        <v>17</v>
      </c>
      <c r="Z5" s="15">
        <v>17.399999999999999</v>
      </c>
    </row>
    <row r="6" spans="1:26" s="15" customFormat="1" x14ac:dyDescent="0.3">
      <c r="A6" s="14">
        <v>45699</v>
      </c>
      <c r="B6" s="15">
        <v>25.9</v>
      </c>
      <c r="C6" s="15">
        <v>26.3</v>
      </c>
      <c r="D6" s="15">
        <v>25.9</v>
      </c>
      <c r="E6" s="14">
        <v>45699</v>
      </c>
      <c r="F6" s="15">
        <v>25.9</v>
      </c>
      <c r="G6" s="15">
        <v>26.2</v>
      </c>
      <c r="H6" s="15">
        <v>26.4</v>
      </c>
      <c r="I6" s="14">
        <v>45700</v>
      </c>
      <c r="J6" s="15">
        <v>23.6</v>
      </c>
      <c r="K6" s="15">
        <v>23.7</v>
      </c>
      <c r="L6" s="15">
        <v>24.2</v>
      </c>
      <c r="M6" s="14">
        <v>45700</v>
      </c>
      <c r="N6" s="15">
        <v>23.9</v>
      </c>
      <c r="O6" s="15">
        <v>24.4</v>
      </c>
      <c r="P6" s="15">
        <v>24.6</v>
      </c>
      <c r="Q6" s="14">
        <v>45700</v>
      </c>
      <c r="R6" s="15">
        <v>24.5</v>
      </c>
      <c r="S6" s="15">
        <v>24.7</v>
      </c>
      <c r="T6" s="15">
        <v>23.3</v>
      </c>
      <c r="U6" s="14">
        <v>45691</v>
      </c>
      <c r="V6" s="15">
        <v>22.7</v>
      </c>
      <c r="W6" s="15">
        <v>23.1</v>
      </c>
      <c r="X6" s="14">
        <v>45691</v>
      </c>
      <c r="Y6" s="15">
        <v>22.8</v>
      </c>
      <c r="Z6" s="15">
        <v>23.1</v>
      </c>
    </row>
    <row r="7" spans="1:26" s="15" customFormat="1" x14ac:dyDescent="0.3">
      <c r="A7" s="14">
        <v>45734</v>
      </c>
      <c r="B7" s="15">
        <v>24.4</v>
      </c>
      <c r="C7" s="15">
        <v>24.7</v>
      </c>
      <c r="D7" s="15">
        <v>23.8</v>
      </c>
      <c r="E7" s="14">
        <v>45734</v>
      </c>
      <c r="F7" s="15">
        <v>23.4</v>
      </c>
      <c r="G7" s="15">
        <v>24</v>
      </c>
      <c r="H7" s="15">
        <v>23.5</v>
      </c>
      <c r="I7" s="14">
        <v>45734</v>
      </c>
      <c r="J7" s="15">
        <v>22</v>
      </c>
      <c r="K7" s="15">
        <v>20.100000000000001</v>
      </c>
      <c r="L7" s="15">
        <v>21.3</v>
      </c>
      <c r="M7" s="14">
        <v>45734</v>
      </c>
      <c r="N7" s="15">
        <v>19.899999999999999</v>
      </c>
      <c r="O7" s="15">
        <v>20.7</v>
      </c>
      <c r="P7" s="15">
        <v>19.8</v>
      </c>
      <c r="Q7" s="14">
        <v>45734</v>
      </c>
      <c r="R7" s="15">
        <v>21.7</v>
      </c>
      <c r="S7" s="15">
        <v>21.6</v>
      </c>
      <c r="T7" s="15">
        <v>21.5</v>
      </c>
      <c r="U7" s="14">
        <v>45719</v>
      </c>
      <c r="V7" s="15">
        <v>20.6</v>
      </c>
      <c r="W7" s="15">
        <v>20.9</v>
      </c>
      <c r="X7" s="14">
        <v>45719</v>
      </c>
      <c r="Y7" s="15">
        <v>21.9</v>
      </c>
      <c r="Z7" s="15">
        <v>22</v>
      </c>
    </row>
    <row r="8" spans="1:26" x14ac:dyDescent="0.3">
      <c r="A8" s="1">
        <v>45755</v>
      </c>
      <c r="B8">
        <v>26.8</v>
      </c>
      <c r="C8">
        <v>27.2</v>
      </c>
      <c r="D8">
        <v>27.3</v>
      </c>
      <c r="E8" s="1">
        <v>45755</v>
      </c>
      <c r="F8">
        <v>26.6</v>
      </c>
      <c r="G8">
        <v>26.9</v>
      </c>
      <c r="H8">
        <v>26.8</v>
      </c>
      <c r="I8" s="1">
        <v>45756</v>
      </c>
      <c r="J8">
        <v>24.1</v>
      </c>
      <c r="K8">
        <v>23.4</v>
      </c>
      <c r="L8">
        <v>24.4</v>
      </c>
      <c r="M8" s="1">
        <v>45756</v>
      </c>
      <c r="N8">
        <v>24.3</v>
      </c>
      <c r="O8">
        <v>24.4</v>
      </c>
      <c r="P8">
        <v>25.4</v>
      </c>
      <c r="Q8" s="1">
        <v>45756</v>
      </c>
      <c r="R8">
        <v>24.2</v>
      </c>
      <c r="S8">
        <v>25.6</v>
      </c>
      <c r="T8">
        <v>24.8</v>
      </c>
      <c r="U8" s="1">
        <v>45762</v>
      </c>
      <c r="V8">
        <v>24.1</v>
      </c>
      <c r="W8">
        <v>24.6</v>
      </c>
      <c r="X8" s="1">
        <v>45762</v>
      </c>
      <c r="Y8">
        <v>24.4</v>
      </c>
      <c r="Z8">
        <v>24.4</v>
      </c>
    </row>
    <row r="9" spans="1:26" x14ac:dyDescent="0.3">
      <c r="A9" s="1">
        <v>45783</v>
      </c>
      <c r="B9">
        <v>29.5</v>
      </c>
      <c r="C9">
        <v>29.3</v>
      </c>
      <c r="D9">
        <v>29.7</v>
      </c>
      <c r="E9" s="1">
        <v>45783</v>
      </c>
      <c r="F9">
        <v>29.5</v>
      </c>
      <c r="G9">
        <v>29.9</v>
      </c>
      <c r="H9">
        <v>30</v>
      </c>
      <c r="I9" s="1">
        <v>45784</v>
      </c>
      <c r="J9">
        <v>26.6</v>
      </c>
      <c r="K9">
        <v>27.1</v>
      </c>
      <c r="L9">
        <v>27.2</v>
      </c>
      <c r="M9" s="1">
        <v>45784</v>
      </c>
      <c r="N9">
        <v>27.1</v>
      </c>
      <c r="O9">
        <v>26.9</v>
      </c>
      <c r="P9">
        <v>27.5</v>
      </c>
      <c r="Q9" s="1">
        <v>45784</v>
      </c>
      <c r="R9">
        <v>27.8</v>
      </c>
      <c r="S9">
        <v>27.7</v>
      </c>
      <c r="T9">
        <v>28.1</v>
      </c>
      <c r="U9" s="1">
        <v>45791</v>
      </c>
      <c r="V9">
        <v>27.9</v>
      </c>
      <c r="W9">
        <v>28</v>
      </c>
      <c r="X9" s="1">
        <v>45791</v>
      </c>
      <c r="Y9">
        <v>27.7</v>
      </c>
      <c r="Z9">
        <v>28.5</v>
      </c>
    </row>
    <row r="10" spans="1:26" x14ac:dyDescent="0.3">
      <c r="A10" s="1">
        <v>45818</v>
      </c>
      <c r="B10">
        <v>30.1</v>
      </c>
      <c r="C10">
        <v>30.2</v>
      </c>
      <c r="D10">
        <v>30.3</v>
      </c>
      <c r="E10" s="1">
        <v>45818</v>
      </c>
      <c r="F10">
        <v>29.5</v>
      </c>
      <c r="G10">
        <v>29.6</v>
      </c>
      <c r="H10">
        <v>29.9</v>
      </c>
      <c r="I10" s="1">
        <v>45819</v>
      </c>
      <c r="J10">
        <v>28.6</v>
      </c>
      <c r="K10">
        <v>29.2</v>
      </c>
      <c r="L10">
        <v>29.7</v>
      </c>
      <c r="M10" s="1">
        <v>45819</v>
      </c>
      <c r="N10">
        <v>29.9</v>
      </c>
      <c r="O10">
        <v>30</v>
      </c>
      <c r="P10">
        <v>30</v>
      </c>
      <c r="Q10" s="1">
        <v>45819</v>
      </c>
      <c r="R10">
        <v>30</v>
      </c>
      <c r="S10">
        <v>30</v>
      </c>
      <c r="T10">
        <v>30.6</v>
      </c>
      <c r="U10" s="1">
        <v>45825</v>
      </c>
      <c r="V10">
        <v>33.1</v>
      </c>
      <c r="W10">
        <v>31.3</v>
      </c>
      <c r="X10" s="1">
        <v>45825</v>
      </c>
      <c r="Y10">
        <v>30.7</v>
      </c>
      <c r="Z10">
        <v>30.3</v>
      </c>
    </row>
    <row r="11" spans="1:26" x14ac:dyDescent="0.3">
      <c r="A11" s="1">
        <v>45846</v>
      </c>
      <c r="B11">
        <v>33.5</v>
      </c>
      <c r="C11">
        <v>32.9</v>
      </c>
      <c r="D11">
        <v>32.5</v>
      </c>
      <c r="E11" s="1">
        <v>45846</v>
      </c>
      <c r="F11">
        <v>32.5</v>
      </c>
      <c r="G11">
        <v>32.200000000000003</v>
      </c>
      <c r="H11">
        <v>32.700000000000003</v>
      </c>
      <c r="I11" s="1">
        <v>45847</v>
      </c>
      <c r="J11">
        <v>29.4</v>
      </c>
      <c r="K11">
        <v>29.5</v>
      </c>
      <c r="L11">
        <v>29.8</v>
      </c>
      <c r="M11" s="1">
        <v>45847</v>
      </c>
      <c r="N11">
        <v>30.3</v>
      </c>
      <c r="O11">
        <v>30.5</v>
      </c>
      <c r="P11">
        <v>30.3</v>
      </c>
      <c r="Q11" s="1">
        <v>45847</v>
      </c>
      <c r="R11">
        <v>30.6</v>
      </c>
      <c r="S11">
        <v>30.8</v>
      </c>
      <c r="T11">
        <v>31.9</v>
      </c>
      <c r="U11" s="1">
        <v>45862</v>
      </c>
      <c r="V11">
        <v>31.2</v>
      </c>
      <c r="W11">
        <v>31.4</v>
      </c>
      <c r="X11" s="1">
        <v>45862</v>
      </c>
      <c r="Y11">
        <v>29.6</v>
      </c>
      <c r="Z11">
        <v>30.3</v>
      </c>
    </row>
    <row r="12" spans="1:26" x14ac:dyDescent="0.3">
      <c r="A12" s="1">
        <v>45874</v>
      </c>
      <c r="B12">
        <v>34.1</v>
      </c>
      <c r="C12">
        <v>33.9</v>
      </c>
      <c r="D12">
        <v>34.299999999999997</v>
      </c>
      <c r="E12" s="1">
        <v>45874</v>
      </c>
      <c r="F12">
        <v>33.299999999999997</v>
      </c>
      <c r="G12">
        <v>33.5</v>
      </c>
      <c r="H12">
        <v>33</v>
      </c>
      <c r="I12" s="1">
        <v>45875</v>
      </c>
      <c r="J12">
        <v>30.5</v>
      </c>
      <c r="K12">
        <v>30</v>
      </c>
      <c r="L12">
        <v>30.3</v>
      </c>
      <c r="M12" s="1">
        <v>45875</v>
      </c>
      <c r="N12">
        <v>30.7</v>
      </c>
      <c r="O12">
        <v>31.2</v>
      </c>
      <c r="P12">
        <v>30.8</v>
      </c>
      <c r="Q12" s="1">
        <v>45875</v>
      </c>
      <c r="R12">
        <v>30.9</v>
      </c>
      <c r="S12">
        <v>31.5</v>
      </c>
      <c r="T12">
        <v>32</v>
      </c>
      <c r="U12" s="1">
        <v>45890</v>
      </c>
      <c r="V12">
        <v>32.1</v>
      </c>
      <c r="W12">
        <v>31.3</v>
      </c>
      <c r="X12" s="1">
        <v>45890</v>
      </c>
      <c r="Y12">
        <v>32</v>
      </c>
      <c r="Z12">
        <v>32.200000000000003</v>
      </c>
    </row>
    <row r="13" spans="1:26" x14ac:dyDescent="0.3">
      <c r="A13" s="1">
        <v>45903</v>
      </c>
      <c r="B13">
        <v>31.4</v>
      </c>
      <c r="C13">
        <v>31.3</v>
      </c>
      <c r="D13">
        <v>31.4</v>
      </c>
      <c r="E13" s="1">
        <v>45904</v>
      </c>
      <c r="F13">
        <v>30.3</v>
      </c>
      <c r="G13">
        <v>30.5</v>
      </c>
      <c r="H13">
        <v>29.9</v>
      </c>
      <c r="I13" s="1">
        <v>45903</v>
      </c>
      <c r="J13">
        <v>29.7</v>
      </c>
      <c r="K13">
        <v>29.6</v>
      </c>
      <c r="L13">
        <v>30.1</v>
      </c>
      <c r="M13" s="1">
        <v>45903</v>
      </c>
      <c r="N13">
        <v>30.6</v>
      </c>
      <c r="O13">
        <v>30</v>
      </c>
      <c r="P13">
        <v>32.700000000000003</v>
      </c>
      <c r="Q13" s="1">
        <v>45903</v>
      </c>
      <c r="R13">
        <v>30.6</v>
      </c>
      <c r="S13">
        <v>32</v>
      </c>
      <c r="T13">
        <v>31.1</v>
      </c>
      <c r="U13" s="1">
        <v>45916</v>
      </c>
      <c r="V13">
        <v>30.5</v>
      </c>
      <c r="W13">
        <v>29.3</v>
      </c>
      <c r="X13" s="1">
        <v>45916</v>
      </c>
      <c r="Y13">
        <v>29.7</v>
      </c>
      <c r="Z13">
        <v>29.7</v>
      </c>
    </row>
    <row r="15" spans="1:26" x14ac:dyDescent="0.3">
      <c r="B15" s="13" t="s">
        <v>560</v>
      </c>
      <c r="C15" s="13" t="s">
        <v>560</v>
      </c>
      <c r="D15" s="13" t="s">
        <v>560</v>
      </c>
      <c r="F15" s="13" t="s">
        <v>561</v>
      </c>
      <c r="G15" s="13" t="s">
        <v>560</v>
      </c>
      <c r="H15" s="13" t="s">
        <v>561</v>
      </c>
      <c r="J15" s="13" t="s">
        <v>562</v>
      </c>
      <c r="K15" s="13" t="s">
        <v>563</v>
      </c>
      <c r="L15" s="13" t="s">
        <v>563</v>
      </c>
      <c r="N15" s="13" t="s">
        <v>564</v>
      </c>
      <c r="O15" s="13" t="s">
        <v>564</v>
      </c>
      <c r="P15" s="13" t="s">
        <v>564</v>
      </c>
      <c r="R15" s="13" t="s">
        <v>564</v>
      </c>
      <c r="S15" s="13" t="s">
        <v>565</v>
      </c>
      <c r="T15" s="13" t="s">
        <v>566</v>
      </c>
      <c r="V15" s="13" t="s">
        <v>567</v>
      </c>
      <c r="W15" s="13" t="s">
        <v>562</v>
      </c>
      <c r="Y15" s="13" t="s">
        <v>565</v>
      </c>
      <c r="Z15" s="13" t="s">
        <v>568</v>
      </c>
    </row>
    <row r="18" spans="1:8" x14ac:dyDescent="0.3">
      <c r="A18" t="s">
        <v>58</v>
      </c>
      <c r="B18" t="s">
        <v>59</v>
      </c>
      <c r="C18" t="s">
        <v>60</v>
      </c>
      <c r="D18" t="s">
        <v>30</v>
      </c>
      <c r="E18" t="s">
        <v>31</v>
      </c>
      <c r="F18" t="s">
        <v>61</v>
      </c>
      <c r="G18" t="s">
        <v>62</v>
      </c>
      <c r="H18" t="s">
        <v>63</v>
      </c>
    </row>
    <row r="19" spans="1:8" x14ac:dyDescent="0.3">
      <c r="A19" t="s">
        <v>2</v>
      </c>
      <c r="B19">
        <v>16.5</v>
      </c>
      <c r="C19">
        <v>17</v>
      </c>
      <c r="D19">
        <v>19.5</v>
      </c>
      <c r="E19">
        <v>19.2</v>
      </c>
      <c r="F19">
        <v>17.2</v>
      </c>
      <c r="G19">
        <v>17.600000000000001</v>
      </c>
      <c r="H19">
        <v>17.899999999999999</v>
      </c>
    </row>
    <row r="20" spans="1:8" x14ac:dyDescent="0.3">
      <c r="A20" t="s">
        <v>3</v>
      </c>
      <c r="B20">
        <v>33.1</v>
      </c>
      <c r="C20">
        <v>32.200000000000003</v>
      </c>
      <c r="D20">
        <v>34.299999999999997</v>
      </c>
      <c r="E20">
        <v>33.5</v>
      </c>
      <c r="F20">
        <v>30.5</v>
      </c>
      <c r="G20">
        <v>32.700000000000003</v>
      </c>
      <c r="H20">
        <v>32</v>
      </c>
    </row>
    <row r="21" spans="1:8" x14ac:dyDescent="0.3">
      <c r="A21" t="s">
        <v>4</v>
      </c>
      <c r="B21">
        <v>25.67</v>
      </c>
      <c r="C21">
        <v>25.84</v>
      </c>
      <c r="D21">
        <v>27.77</v>
      </c>
      <c r="E21">
        <v>27.52</v>
      </c>
      <c r="F21">
        <v>25.46</v>
      </c>
      <c r="G21">
        <v>25.84</v>
      </c>
      <c r="H21">
        <v>26.24</v>
      </c>
    </row>
    <row r="23" spans="1:8" x14ac:dyDescent="0.3">
      <c r="A23" t="s">
        <v>58</v>
      </c>
      <c r="B23" t="s">
        <v>29</v>
      </c>
      <c r="C23" t="s">
        <v>28</v>
      </c>
      <c r="D23" t="s">
        <v>5</v>
      </c>
    </row>
    <row r="24" spans="1:8" x14ac:dyDescent="0.3">
      <c r="A24" t="s">
        <v>2</v>
      </c>
      <c r="B24">
        <v>16.5</v>
      </c>
      <c r="C24">
        <v>19.2</v>
      </c>
      <c r="D24">
        <v>17.2</v>
      </c>
    </row>
    <row r="25" spans="1:8" x14ac:dyDescent="0.3">
      <c r="A25" t="s">
        <v>3</v>
      </c>
      <c r="B25">
        <v>33.1</v>
      </c>
      <c r="C25">
        <v>34.299999999999997</v>
      </c>
      <c r="D25">
        <v>32.700000000000003</v>
      </c>
    </row>
    <row r="26" spans="1:8" x14ac:dyDescent="0.3">
      <c r="A26" t="s">
        <v>4</v>
      </c>
      <c r="B26">
        <v>25.75</v>
      </c>
      <c r="C26">
        <v>27.65</v>
      </c>
      <c r="D26">
        <v>25.85</v>
      </c>
    </row>
  </sheetData>
  <pageMargins left="0.7" right="0.7" top="0.75" bottom="0.75" header="0.3" footer="0.3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6"/>
  <sheetViews>
    <sheetView workbookViewId="0"/>
  </sheetViews>
  <sheetFormatPr defaultColWidth="11.44140625" defaultRowHeight="14.4" x14ac:dyDescent="0.3"/>
  <sheetData>
    <row r="1" spans="1:26" x14ac:dyDescent="0.3">
      <c r="A1" t="s">
        <v>142</v>
      </c>
      <c r="B1" t="s">
        <v>143</v>
      </c>
      <c r="C1" t="s">
        <v>144</v>
      </c>
      <c r="D1" t="s">
        <v>145</v>
      </c>
      <c r="E1" t="s">
        <v>146</v>
      </c>
      <c r="F1" t="s">
        <v>147</v>
      </c>
      <c r="G1" t="s">
        <v>148</v>
      </c>
      <c r="H1" t="s">
        <v>149</v>
      </c>
      <c r="I1" t="s">
        <v>150</v>
      </c>
      <c r="J1" t="s">
        <v>151</v>
      </c>
      <c r="K1" t="s">
        <v>152</v>
      </c>
      <c r="L1" t="s">
        <v>153</v>
      </c>
      <c r="M1" t="s">
        <v>154</v>
      </c>
      <c r="N1" t="s">
        <v>155</v>
      </c>
      <c r="O1" t="s">
        <v>156</v>
      </c>
      <c r="P1" t="s">
        <v>157</v>
      </c>
      <c r="Q1" t="s">
        <v>158</v>
      </c>
      <c r="R1" t="s">
        <v>159</v>
      </c>
      <c r="S1" t="s">
        <v>160</v>
      </c>
      <c r="T1" t="s">
        <v>161</v>
      </c>
      <c r="U1" t="s">
        <v>162</v>
      </c>
      <c r="V1" t="s">
        <v>163</v>
      </c>
      <c r="W1" t="s">
        <v>164</v>
      </c>
      <c r="X1" t="s">
        <v>165</v>
      </c>
      <c r="Y1" t="s">
        <v>166</v>
      </c>
      <c r="Z1" t="s">
        <v>167</v>
      </c>
    </row>
    <row r="2" spans="1:26" x14ac:dyDescent="0.3">
      <c r="A2" s="1">
        <v>45567</v>
      </c>
      <c r="B2">
        <v>4.8899999999999997</v>
      </c>
      <c r="C2">
        <v>5.34</v>
      </c>
      <c r="D2">
        <v>3.69</v>
      </c>
      <c r="E2" s="1">
        <v>45567</v>
      </c>
      <c r="F2">
        <v>5.37</v>
      </c>
      <c r="G2">
        <v>5.75</v>
      </c>
      <c r="H2">
        <v>6.44</v>
      </c>
      <c r="I2" s="1">
        <v>45568</v>
      </c>
      <c r="J2">
        <v>5.42</v>
      </c>
      <c r="K2">
        <v>5.28</v>
      </c>
      <c r="L2">
        <v>5.3</v>
      </c>
      <c r="M2" s="1">
        <v>45568</v>
      </c>
      <c r="N2">
        <v>5.6</v>
      </c>
      <c r="O2">
        <v>5.13</v>
      </c>
      <c r="P2">
        <v>6</v>
      </c>
      <c r="Q2" s="1">
        <v>45568</v>
      </c>
      <c r="R2">
        <v>4.82</v>
      </c>
      <c r="S2">
        <v>4.66</v>
      </c>
      <c r="T2">
        <v>4.92</v>
      </c>
      <c r="U2" s="1">
        <v>45588</v>
      </c>
      <c r="V2">
        <v>7.81</v>
      </c>
      <c r="W2">
        <v>6.82</v>
      </c>
      <c r="X2" s="1">
        <v>45588</v>
      </c>
      <c r="Y2">
        <v>7.36</v>
      </c>
      <c r="Z2">
        <v>6.8</v>
      </c>
    </row>
    <row r="3" spans="1:26" x14ac:dyDescent="0.3">
      <c r="A3" s="1">
        <v>45601</v>
      </c>
      <c r="B3">
        <v>6.6</v>
      </c>
      <c r="C3">
        <v>6.26</v>
      </c>
      <c r="D3">
        <v>6.14</v>
      </c>
      <c r="E3" s="1">
        <v>45601</v>
      </c>
      <c r="F3">
        <v>5.72</v>
      </c>
      <c r="G3">
        <v>6.99</v>
      </c>
      <c r="H3">
        <v>6.74</v>
      </c>
      <c r="I3" s="1">
        <v>45602</v>
      </c>
      <c r="J3">
        <v>7.5</v>
      </c>
      <c r="K3">
        <v>7.54</v>
      </c>
      <c r="L3">
        <v>7.48</v>
      </c>
      <c r="M3" s="1">
        <v>45602</v>
      </c>
      <c r="N3">
        <v>7.41</v>
      </c>
      <c r="O3">
        <v>7.49</v>
      </c>
      <c r="P3">
        <v>7.21</v>
      </c>
      <c r="Q3" s="1">
        <v>45602</v>
      </c>
      <c r="R3">
        <v>7.19</v>
      </c>
      <c r="S3">
        <v>7</v>
      </c>
      <c r="T3">
        <v>7.44</v>
      </c>
      <c r="U3" s="1">
        <v>45609</v>
      </c>
      <c r="V3">
        <v>6.94</v>
      </c>
      <c r="W3">
        <v>6.98</v>
      </c>
      <c r="X3" s="1">
        <v>45609</v>
      </c>
      <c r="Y3">
        <v>7</v>
      </c>
      <c r="Z3">
        <v>6.71</v>
      </c>
    </row>
    <row r="4" spans="1:26" x14ac:dyDescent="0.3">
      <c r="A4" s="1">
        <v>45630</v>
      </c>
      <c r="B4">
        <v>7.96</v>
      </c>
      <c r="C4">
        <v>7.9</v>
      </c>
      <c r="D4">
        <v>7.62</v>
      </c>
      <c r="E4" s="1">
        <v>45630</v>
      </c>
      <c r="F4">
        <v>7.91</v>
      </c>
      <c r="G4">
        <v>7.88</v>
      </c>
      <c r="H4">
        <v>7.58</v>
      </c>
      <c r="I4" s="1">
        <v>45631</v>
      </c>
      <c r="J4">
        <v>7.82</v>
      </c>
      <c r="K4">
        <v>9.17</v>
      </c>
      <c r="L4">
        <v>9.06</v>
      </c>
      <c r="M4" s="1">
        <v>45631</v>
      </c>
      <c r="N4">
        <v>8.2799999999999994</v>
      </c>
      <c r="O4">
        <v>9.34</v>
      </c>
      <c r="P4">
        <v>9.56</v>
      </c>
      <c r="Q4" s="1">
        <v>45631</v>
      </c>
      <c r="R4">
        <v>9.4700000000000006</v>
      </c>
      <c r="S4">
        <v>8.98</v>
      </c>
      <c r="T4">
        <v>11.06</v>
      </c>
      <c r="U4" s="1">
        <v>45636</v>
      </c>
      <c r="V4">
        <v>8.01</v>
      </c>
      <c r="W4">
        <v>8.42</v>
      </c>
      <c r="X4" s="1">
        <v>45636</v>
      </c>
      <c r="Y4">
        <v>8.17</v>
      </c>
      <c r="Z4">
        <v>8.14</v>
      </c>
    </row>
    <row r="5" spans="1:26" x14ac:dyDescent="0.3">
      <c r="A5" s="1">
        <v>45663</v>
      </c>
      <c r="B5">
        <v>6.78</v>
      </c>
      <c r="C5">
        <v>7.09</v>
      </c>
      <c r="D5">
        <v>6.99</v>
      </c>
      <c r="E5" s="1">
        <v>45663</v>
      </c>
      <c r="F5">
        <v>6.89</v>
      </c>
      <c r="G5">
        <v>6.52</v>
      </c>
      <c r="H5">
        <v>7.35</v>
      </c>
      <c r="I5" s="1">
        <v>45664</v>
      </c>
      <c r="J5">
        <v>8.02</v>
      </c>
      <c r="K5">
        <v>8.27</v>
      </c>
      <c r="L5">
        <v>8.41</v>
      </c>
      <c r="M5" s="1">
        <v>45664</v>
      </c>
      <c r="N5">
        <v>8.64</v>
      </c>
      <c r="O5">
        <v>8.9600000000000009</v>
      </c>
      <c r="P5">
        <v>8.7799999999999994</v>
      </c>
      <c r="Q5" s="1">
        <v>45664</v>
      </c>
      <c r="R5">
        <v>9.02</v>
      </c>
      <c r="S5">
        <v>9</v>
      </c>
      <c r="T5">
        <v>9.15</v>
      </c>
      <c r="U5" s="1">
        <v>45670</v>
      </c>
      <c r="V5">
        <v>9.51</v>
      </c>
      <c r="W5">
        <v>8.41</v>
      </c>
      <c r="X5" s="1">
        <v>45670</v>
      </c>
      <c r="Y5">
        <v>9.1300000000000008</v>
      </c>
      <c r="Z5">
        <v>8.9</v>
      </c>
    </row>
    <row r="6" spans="1:26" x14ac:dyDescent="0.3">
      <c r="A6" s="1">
        <v>45699</v>
      </c>
      <c r="B6">
        <v>7.28</v>
      </c>
      <c r="C6">
        <v>7.06</v>
      </c>
      <c r="D6">
        <v>6.44</v>
      </c>
      <c r="E6" s="1">
        <v>45699</v>
      </c>
      <c r="F6">
        <v>6.79</v>
      </c>
      <c r="G6">
        <v>6.83</v>
      </c>
      <c r="H6">
        <v>6.81</v>
      </c>
      <c r="I6" s="1">
        <v>45700</v>
      </c>
      <c r="J6">
        <v>6.6</v>
      </c>
      <c r="K6">
        <v>6.4</v>
      </c>
      <c r="L6">
        <v>6.64</v>
      </c>
      <c r="M6" s="1">
        <v>45700</v>
      </c>
      <c r="N6">
        <v>6.15</v>
      </c>
      <c r="O6">
        <v>7.37</v>
      </c>
      <c r="P6">
        <v>6.77</v>
      </c>
      <c r="Q6" s="1">
        <v>45700</v>
      </c>
      <c r="R6">
        <v>6.38</v>
      </c>
      <c r="S6">
        <v>6.38</v>
      </c>
      <c r="T6">
        <v>6.87</v>
      </c>
      <c r="U6" s="1">
        <v>45691</v>
      </c>
      <c r="V6">
        <v>8.5399999999999991</v>
      </c>
      <c r="W6">
        <v>7.78</v>
      </c>
      <c r="X6" s="1">
        <v>45691</v>
      </c>
      <c r="Y6">
        <v>7.68</v>
      </c>
      <c r="Z6">
        <v>7.91</v>
      </c>
    </row>
    <row r="7" spans="1:26" x14ac:dyDescent="0.3">
      <c r="A7" s="1">
        <v>45734</v>
      </c>
      <c r="B7">
        <v>7.81</v>
      </c>
      <c r="C7">
        <v>8.2899999999999991</v>
      </c>
      <c r="D7">
        <v>7.19</v>
      </c>
      <c r="E7" s="1">
        <v>45734</v>
      </c>
      <c r="F7">
        <v>7.59</v>
      </c>
      <c r="G7">
        <v>8.2799999999999994</v>
      </c>
      <c r="H7">
        <v>8.08</v>
      </c>
      <c r="I7" s="1">
        <v>45734</v>
      </c>
      <c r="J7">
        <v>7.46</v>
      </c>
      <c r="K7">
        <v>8.8000000000000007</v>
      </c>
      <c r="L7">
        <v>8.5399999999999991</v>
      </c>
      <c r="M7" s="1">
        <v>45734</v>
      </c>
      <c r="N7">
        <v>7.32</v>
      </c>
      <c r="O7">
        <v>8.2899999999999991</v>
      </c>
      <c r="P7">
        <v>7.87</v>
      </c>
      <c r="Q7" s="1">
        <v>45734</v>
      </c>
      <c r="R7">
        <v>8.69</v>
      </c>
      <c r="S7">
        <v>8.64</v>
      </c>
      <c r="T7">
        <v>8.66</v>
      </c>
      <c r="U7" s="1">
        <v>45719</v>
      </c>
      <c r="V7">
        <v>8.4600000000000009</v>
      </c>
      <c r="W7">
        <v>8.6199999999999992</v>
      </c>
      <c r="X7" s="1">
        <v>45719</v>
      </c>
      <c r="Y7">
        <v>8.6300000000000008</v>
      </c>
      <c r="Z7">
        <v>8.11</v>
      </c>
    </row>
    <row r="8" spans="1:26" x14ac:dyDescent="0.3">
      <c r="A8" s="1">
        <v>45755</v>
      </c>
      <c r="B8">
        <v>7.43</v>
      </c>
      <c r="C8">
        <v>7.01</v>
      </c>
      <c r="D8">
        <v>6.39</v>
      </c>
      <c r="E8" s="1">
        <v>45755</v>
      </c>
      <c r="F8">
        <v>7.67</v>
      </c>
      <c r="G8">
        <v>8</v>
      </c>
      <c r="H8">
        <v>7.74</v>
      </c>
      <c r="I8" s="1">
        <v>45756</v>
      </c>
      <c r="J8">
        <v>6.54</v>
      </c>
      <c r="K8">
        <v>6.4</v>
      </c>
      <c r="L8">
        <v>6.17</v>
      </c>
      <c r="M8" s="1">
        <v>45756</v>
      </c>
      <c r="N8">
        <v>6.57</v>
      </c>
      <c r="O8">
        <v>7.35</v>
      </c>
      <c r="P8">
        <v>6.66</v>
      </c>
      <c r="Q8" s="1">
        <v>45756</v>
      </c>
      <c r="R8">
        <v>7.55</v>
      </c>
      <c r="S8">
        <v>6.43</v>
      </c>
      <c r="T8">
        <v>5.78</v>
      </c>
      <c r="U8" s="1">
        <v>45762</v>
      </c>
      <c r="V8">
        <v>7.35</v>
      </c>
      <c r="W8">
        <v>7.53</v>
      </c>
      <c r="X8" s="1">
        <v>45762</v>
      </c>
      <c r="Y8">
        <v>6.89</v>
      </c>
      <c r="Z8">
        <v>7.84</v>
      </c>
    </row>
    <row r="9" spans="1:26" x14ac:dyDescent="0.3">
      <c r="A9" s="1">
        <v>45783</v>
      </c>
      <c r="B9">
        <v>7.39</v>
      </c>
      <c r="C9">
        <v>7.23</v>
      </c>
      <c r="D9">
        <v>7.27</v>
      </c>
      <c r="E9" s="1">
        <v>45783</v>
      </c>
      <c r="F9">
        <v>7.23</v>
      </c>
      <c r="G9">
        <v>7.48</v>
      </c>
      <c r="H9">
        <v>7.63</v>
      </c>
      <c r="I9" s="1">
        <v>45784</v>
      </c>
      <c r="J9">
        <v>4.71</v>
      </c>
      <c r="K9">
        <v>4.84</v>
      </c>
      <c r="L9">
        <v>5.37</v>
      </c>
      <c r="M9" s="1">
        <v>45784</v>
      </c>
      <c r="N9">
        <v>4.92</v>
      </c>
      <c r="O9">
        <v>6.74</v>
      </c>
      <c r="P9">
        <v>5.58</v>
      </c>
      <c r="Q9" s="1">
        <v>45784</v>
      </c>
      <c r="R9">
        <v>5.74</v>
      </c>
      <c r="S9">
        <v>5.63</v>
      </c>
      <c r="T9">
        <v>6.16</v>
      </c>
      <c r="U9" s="1">
        <v>45791</v>
      </c>
      <c r="V9">
        <v>5.97</v>
      </c>
      <c r="W9">
        <v>6.11</v>
      </c>
      <c r="X9" s="1">
        <v>45791</v>
      </c>
      <c r="Y9">
        <v>7.91</v>
      </c>
      <c r="Z9">
        <v>7.2</v>
      </c>
    </row>
    <row r="10" spans="1:26" x14ac:dyDescent="0.3">
      <c r="A10" s="1">
        <v>45818</v>
      </c>
      <c r="B10">
        <v>5.6</v>
      </c>
      <c r="C10">
        <v>5.7</v>
      </c>
      <c r="D10">
        <v>5.39</v>
      </c>
      <c r="E10" s="1">
        <v>45818</v>
      </c>
      <c r="F10">
        <v>7.64</v>
      </c>
      <c r="G10">
        <v>7.48</v>
      </c>
      <c r="H10">
        <v>6.81</v>
      </c>
      <c r="I10" s="1">
        <v>45819</v>
      </c>
      <c r="J10">
        <v>4.75</v>
      </c>
      <c r="K10">
        <v>4.1500000000000004</v>
      </c>
      <c r="L10">
        <v>4.0999999999999996</v>
      </c>
      <c r="M10" s="1">
        <v>45819</v>
      </c>
      <c r="N10">
        <v>5.13</v>
      </c>
      <c r="O10">
        <v>4.17</v>
      </c>
      <c r="P10">
        <v>5.99</v>
      </c>
      <c r="Q10" s="1">
        <v>45819</v>
      </c>
      <c r="R10">
        <v>3.97</v>
      </c>
      <c r="S10">
        <v>5.26</v>
      </c>
      <c r="T10">
        <v>5.56</v>
      </c>
      <c r="U10" s="1">
        <v>45825</v>
      </c>
      <c r="V10">
        <v>7.11</v>
      </c>
      <c r="W10">
        <v>6.22</v>
      </c>
      <c r="X10" s="1">
        <v>45825</v>
      </c>
      <c r="Y10">
        <v>5.08</v>
      </c>
      <c r="Z10">
        <v>5.54</v>
      </c>
    </row>
    <row r="11" spans="1:26" x14ac:dyDescent="0.3">
      <c r="A11" s="1">
        <v>45846</v>
      </c>
      <c r="B11">
        <v>9.5</v>
      </c>
      <c r="C11">
        <v>7.64</v>
      </c>
      <c r="D11">
        <v>6.22</v>
      </c>
      <c r="E11" s="1">
        <v>45846</v>
      </c>
      <c r="F11">
        <v>8.3000000000000007</v>
      </c>
      <c r="G11">
        <v>8.67</v>
      </c>
      <c r="H11">
        <v>8.4600000000000009</v>
      </c>
      <c r="I11" s="1">
        <v>45847</v>
      </c>
      <c r="J11">
        <v>5.36</v>
      </c>
      <c r="K11">
        <v>5.85</v>
      </c>
      <c r="L11">
        <v>5.88</v>
      </c>
      <c r="M11" s="1">
        <v>45847</v>
      </c>
      <c r="N11">
        <v>7.5</v>
      </c>
      <c r="O11">
        <v>5.0599999999999996</v>
      </c>
      <c r="P11">
        <v>6.06</v>
      </c>
      <c r="Q11" s="1">
        <v>45847</v>
      </c>
      <c r="R11">
        <v>5.17</v>
      </c>
      <c r="S11">
        <v>6.51</v>
      </c>
      <c r="T11">
        <v>5.55</v>
      </c>
      <c r="U11" s="1">
        <v>45862</v>
      </c>
      <c r="V11">
        <v>7.55</v>
      </c>
      <c r="W11">
        <v>5.52</v>
      </c>
      <c r="X11" s="1">
        <v>45862</v>
      </c>
      <c r="Y11">
        <v>6.04</v>
      </c>
      <c r="Z11">
        <v>6.1</v>
      </c>
    </row>
    <row r="12" spans="1:26" x14ac:dyDescent="0.3">
      <c r="A12" s="1">
        <v>45874</v>
      </c>
      <c r="B12">
        <v>6.66</v>
      </c>
      <c r="C12">
        <v>6.55</v>
      </c>
      <c r="D12">
        <v>6.09</v>
      </c>
      <c r="E12" s="1">
        <v>45874</v>
      </c>
      <c r="F12">
        <v>7.29</v>
      </c>
      <c r="G12">
        <v>7.07</v>
      </c>
      <c r="H12">
        <v>7.12</v>
      </c>
      <c r="I12" s="1">
        <v>45875</v>
      </c>
      <c r="J12">
        <v>4.91</v>
      </c>
      <c r="K12">
        <v>5.18</v>
      </c>
      <c r="L12">
        <v>4.9800000000000004</v>
      </c>
      <c r="M12" s="1">
        <v>45875</v>
      </c>
      <c r="N12">
        <v>5.0599999999999996</v>
      </c>
      <c r="O12">
        <v>5.4</v>
      </c>
      <c r="P12">
        <v>4.8499999999999996</v>
      </c>
      <c r="Q12" s="1">
        <v>45875</v>
      </c>
      <c r="R12">
        <v>5.28</v>
      </c>
      <c r="S12">
        <v>5.42</v>
      </c>
      <c r="T12">
        <v>4.18</v>
      </c>
      <c r="U12" s="1">
        <v>45890</v>
      </c>
      <c r="V12">
        <v>4.04</v>
      </c>
      <c r="W12">
        <v>5.72</v>
      </c>
      <c r="X12" s="1">
        <v>45890</v>
      </c>
      <c r="Y12">
        <v>4.7699999999999996</v>
      </c>
      <c r="Z12">
        <v>5.05</v>
      </c>
    </row>
    <row r="13" spans="1:26" x14ac:dyDescent="0.3">
      <c r="A13" s="1">
        <v>45903</v>
      </c>
      <c r="B13">
        <v>7</v>
      </c>
      <c r="C13">
        <v>6.37</v>
      </c>
      <c r="D13">
        <v>5.17</v>
      </c>
      <c r="E13" s="1">
        <v>45904</v>
      </c>
      <c r="F13">
        <v>4.6500000000000004</v>
      </c>
      <c r="G13">
        <v>4.3499999999999996</v>
      </c>
      <c r="H13">
        <v>4.3099999999999996</v>
      </c>
      <c r="I13" s="1">
        <v>45903</v>
      </c>
      <c r="J13">
        <v>6.16</v>
      </c>
      <c r="K13">
        <v>6.14</v>
      </c>
      <c r="L13">
        <v>5.59</v>
      </c>
      <c r="M13" s="1">
        <v>45903</v>
      </c>
      <c r="N13">
        <v>5.52</v>
      </c>
      <c r="O13">
        <v>6.22</v>
      </c>
      <c r="P13">
        <v>6.71</v>
      </c>
      <c r="Q13" s="1">
        <v>45903</v>
      </c>
      <c r="R13">
        <v>7.49</v>
      </c>
      <c r="S13">
        <v>7.24</v>
      </c>
      <c r="T13">
        <v>5.7</v>
      </c>
      <c r="U13" s="1">
        <v>45916</v>
      </c>
      <c r="V13">
        <v>7.04</v>
      </c>
      <c r="W13">
        <v>5.01</v>
      </c>
      <c r="X13" s="1">
        <v>45916</v>
      </c>
      <c r="Y13">
        <v>5.94</v>
      </c>
      <c r="Z13">
        <v>4.22</v>
      </c>
    </row>
    <row r="18" spans="1:8" x14ac:dyDescent="0.3">
      <c r="A18" t="s">
        <v>58</v>
      </c>
      <c r="B18" t="s">
        <v>59</v>
      </c>
      <c r="C18" t="s">
        <v>60</v>
      </c>
      <c r="D18" t="s">
        <v>30</v>
      </c>
      <c r="E18" t="s">
        <v>31</v>
      </c>
      <c r="F18" t="s">
        <v>61</v>
      </c>
      <c r="G18" t="s">
        <v>62</v>
      </c>
      <c r="H18" t="s">
        <v>63</v>
      </c>
    </row>
    <row r="19" spans="1:8" x14ac:dyDescent="0.3">
      <c r="A19" t="s">
        <v>2</v>
      </c>
      <c r="B19">
        <v>4.04</v>
      </c>
      <c r="C19">
        <v>4.22</v>
      </c>
      <c r="D19">
        <v>3.69</v>
      </c>
      <c r="E19">
        <v>4.3099999999999996</v>
      </c>
      <c r="F19">
        <v>4.0999999999999996</v>
      </c>
      <c r="G19">
        <v>4.17</v>
      </c>
      <c r="H19">
        <v>3.97</v>
      </c>
    </row>
    <row r="20" spans="1:8" x14ac:dyDescent="0.3">
      <c r="A20" t="s">
        <v>3</v>
      </c>
      <c r="B20">
        <v>9.51</v>
      </c>
      <c r="C20">
        <v>9.1300000000000008</v>
      </c>
      <c r="D20">
        <v>9.5</v>
      </c>
      <c r="E20">
        <v>8.67</v>
      </c>
      <c r="F20">
        <v>9.17</v>
      </c>
      <c r="G20">
        <v>9.56</v>
      </c>
      <c r="H20">
        <v>11.06</v>
      </c>
    </row>
    <row r="21" spans="1:8" x14ac:dyDescent="0.3">
      <c r="A21" t="s">
        <v>4</v>
      </c>
      <c r="B21">
        <v>7.14</v>
      </c>
      <c r="C21">
        <v>6.96</v>
      </c>
      <c r="D21">
        <v>6.72</v>
      </c>
      <c r="E21">
        <v>7.04</v>
      </c>
      <c r="F21">
        <v>6.41</v>
      </c>
      <c r="G21">
        <v>6.71</v>
      </c>
      <c r="H21">
        <v>6.75</v>
      </c>
    </row>
    <row r="23" spans="1:8" x14ac:dyDescent="0.3">
      <c r="A23" t="s">
        <v>58</v>
      </c>
      <c r="B23" t="s">
        <v>29</v>
      </c>
      <c r="C23" t="s">
        <v>28</v>
      </c>
      <c r="D23" t="s">
        <v>5</v>
      </c>
    </row>
    <row r="24" spans="1:8" x14ac:dyDescent="0.3">
      <c r="A24" t="s">
        <v>2</v>
      </c>
      <c r="B24">
        <v>4.04</v>
      </c>
      <c r="C24">
        <v>3.69</v>
      </c>
      <c r="D24">
        <v>3.97</v>
      </c>
    </row>
    <row r="25" spans="1:8" x14ac:dyDescent="0.3">
      <c r="A25" t="s">
        <v>3</v>
      </c>
      <c r="B25">
        <v>9.51</v>
      </c>
      <c r="C25">
        <v>9.5</v>
      </c>
      <c r="D25">
        <v>11.06</v>
      </c>
    </row>
    <row r="26" spans="1:8" x14ac:dyDescent="0.3">
      <c r="A26" t="s">
        <v>4</v>
      </c>
      <c r="B26">
        <v>7.05</v>
      </c>
      <c r="C26">
        <v>6.88</v>
      </c>
      <c r="D26">
        <v>6.62</v>
      </c>
    </row>
  </sheetData>
  <pageMargins left="0.7" right="0.7" top="0.75" bottom="0.75" header="0.3" footer="0.3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6"/>
  <sheetViews>
    <sheetView workbookViewId="0"/>
  </sheetViews>
  <sheetFormatPr defaultColWidth="11.44140625" defaultRowHeight="14.4" x14ac:dyDescent="0.3"/>
  <sheetData>
    <row r="1" spans="1:26" x14ac:dyDescent="0.3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123</v>
      </c>
      <c r="I1" t="s">
        <v>124</v>
      </c>
      <c r="J1" t="s">
        <v>125</v>
      </c>
      <c r="K1" t="s">
        <v>126</v>
      </c>
      <c r="L1" t="s">
        <v>127</v>
      </c>
      <c r="M1" t="s">
        <v>128</v>
      </c>
      <c r="N1" t="s">
        <v>129</v>
      </c>
      <c r="O1" t="s">
        <v>130</v>
      </c>
      <c r="P1" t="s">
        <v>131</v>
      </c>
      <c r="Q1" t="s">
        <v>132</v>
      </c>
      <c r="R1" t="s">
        <v>133</v>
      </c>
      <c r="S1" t="s">
        <v>134</v>
      </c>
      <c r="T1" t="s">
        <v>135</v>
      </c>
      <c r="U1" t="s">
        <v>136</v>
      </c>
      <c r="V1" t="s">
        <v>137</v>
      </c>
      <c r="W1" t="s">
        <v>138</v>
      </c>
      <c r="X1" t="s">
        <v>139</v>
      </c>
      <c r="Y1" t="s">
        <v>140</v>
      </c>
      <c r="Z1" t="s">
        <v>141</v>
      </c>
    </row>
    <row r="2" spans="1:26" x14ac:dyDescent="0.3">
      <c r="A2" s="1">
        <v>45567</v>
      </c>
      <c r="B2">
        <v>7.8</v>
      </c>
      <c r="C2">
        <v>7.81</v>
      </c>
      <c r="D2">
        <v>8.19</v>
      </c>
      <c r="E2" s="1">
        <v>45567</v>
      </c>
      <c r="F2">
        <v>7.85</v>
      </c>
      <c r="G2">
        <v>7.84</v>
      </c>
      <c r="H2">
        <v>7.87</v>
      </c>
      <c r="I2" s="1">
        <v>45568</v>
      </c>
      <c r="J2">
        <v>7.67</v>
      </c>
      <c r="K2">
        <v>7.7</v>
      </c>
      <c r="L2">
        <v>7.7</v>
      </c>
      <c r="M2" s="1">
        <v>45568</v>
      </c>
      <c r="N2">
        <v>7.86</v>
      </c>
      <c r="O2">
        <v>7.65</v>
      </c>
      <c r="P2">
        <v>7.78</v>
      </c>
      <c r="Q2" s="1">
        <v>45568</v>
      </c>
      <c r="R2">
        <v>7.7</v>
      </c>
      <c r="S2">
        <v>7.72</v>
      </c>
      <c r="T2">
        <v>7.89</v>
      </c>
      <c r="U2" s="1">
        <v>45588</v>
      </c>
      <c r="V2">
        <v>8.08</v>
      </c>
      <c r="W2">
        <v>7.96</v>
      </c>
      <c r="X2" s="1">
        <v>45588</v>
      </c>
      <c r="Y2">
        <v>8.23</v>
      </c>
      <c r="Z2">
        <v>8.36</v>
      </c>
    </row>
    <row r="3" spans="1:26" x14ac:dyDescent="0.3">
      <c r="A3" s="1">
        <v>45601</v>
      </c>
      <c r="B3">
        <v>7.91</v>
      </c>
      <c r="C3">
        <v>7.77</v>
      </c>
      <c r="D3">
        <v>7.96</v>
      </c>
      <c r="E3" s="1">
        <v>45601</v>
      </c>
      <c r="F3">
        <v>7.67</v>
      </c>
      <c r="G3">
        <v>7.84</v>
      </c>
      <c r="H3">
        <v>7.86</v>
      </c>
      <c r="I3" s="1">
        <v>45602</v>
      </c>
      <c r="J3">
        <v>8.07</v>
      </c>
      <c r="K3">
        <v>8.08</v>
      </c>
      <c r="L3">
        <v>8.14</v>
      </c>
      <c r="M3" s="1">
        <v>45602</v>
      </c>
      <c r="N3">
        <v>8.11</v>
      </c>
      <c r="O3">
        <v>8.07</v>
      </c>
      <c r="P3">
        <v>7.96</v>
      </c>
      <c r="Q3" s="1">
        <v>45602</v>
      </c>
      <c r="R3">
        <v>8.0399999999999991</v>
      </c>
      <c r="S3">
        <v>7.96</v>
      </c>
      <c r="T3">
        <v>8.1199999999999992</v>
      </c>
      <c r="U3" s="1">
        <v>45609</v>
      </c>
      <c r="V3">
        <v>7.99</v>
      </c>
      <c r="W3">
        <v>7.98</v>
      </c>
      <c r="X3" s="1">
        <v>45609</v>
      </c>
      <c r="Y3">
        <v>8.1</v>
      </c>
      <c r="Z3">
        <v>8.1999999999999993</v>
      </c>
    </row>
    <row r="4" spans="1:26" x14ac:dyDescent="0.3">
      <c r="A4" s="1">
        <v>45630</v>
      </c>
      <c r="B4">
        <v>8.0299999999999994</v>
      </c>
      <c r="C4">
        <v>8.01</v>
      </c>
      <c r="D4">
        <v>7.94</v>
      </c>
      <c r="E4" s="1">
        <v>45630</v>
      </c>
      <c r="F4">
        <v>7.99</v>
      </c>
      <c r="G4">
        <v>7.93</v>
      </c>
      <c r="H4">
        <v>7.95</v>
      </c>
      <c r="I4" s="1">
        <v>45631</v>
      </c>
      <c r="J4">
        <v>7.88</v>
      </c>
      <c r="K4">
        <v>7.99</v>
      </c>
      <c r="L4">
        <v>8.0399999999999991</v>
      </c>
      <c r="M4" s="1">
        <v>45631</v>
      </c>
      <c r="N4">
        <v>7.92</v>
      </c>
      <c r="O4">
        <v>8.1300000000000008</v>
      </c>
      <c r="P4">
        <v>8.02</v>
      </c>
      <c r="Q4" s="1">
        <v>45631</v>
      </c>
      <c r="R4">
        <v>8.15</v>
      </c>
      <c r="S4">
        <v>8.1</v>
      </c>
      <c r="T4">
        <v>8.27</v>
      </c>
      <c r="U4" s="1">
        <v>45636</v>
      </c>
      <c r="V4">
        <v>7.85</v>
      </c>
      <c r="W4">
        <v>8.0500000000000007</v>
      </c>
      <c r="X4" s="1">
        <v>45636</v>
      </c>
      <c r="Y4">
        <v>8.26</v>
      </c>
      <c r="Z4">
        <v>8.2100000000000009</v>
      </c>
    </row>
    <row r="5" spans="1:26" x14ac:dyDescent="0.3">
      <c r="A5" s="1">
        <v>45663</v>
      </c>
      <c r="B5">
        <v>7.98</v>
      </c>
      <c r="C5">
        <v>8</v>
      </c>
      <c r="D5">
        <v>8.1</v>
      </c>
      <c r="E5" s="1">
        <v>45663</v>
      </c>
      <c r="F5">
        <v>8</v>
      </c>
      <c r="G5">
        <v>8.01</v>
      </c>
      <c r="H5">
        <v>8.07</v>
      </c>
      <c r="I5" s="1">
        <v>45664</v>
      </c>
      <c r="J5">
        <v>7.92</v>
      </c>
      <c r="K5">
        <v>7.89</v>
      </c>
      <c r="L5">
        <v>7.87</v>
      </c>
      <c r="M5" s="1">
        <v>45664</v>
      </c>
      <c r="N5">
        <v>7.79</v>
      </c>
      <c r="O5">
        <v>7.91</v>
      </c>
      <c r="P5">
        <v>7.83</v>
      </c>
      <c r="Q5" s="1">
        <v>45664</v>
      </c>
      <c r="R5">
        <v>8</v>
      </c>
      <c r="S5">
        <v>8.1</v>
      </c>
      <c r="T5">
        <v>8.23</v>
      </c>
      <c r="U5" s="1">
        <v>45670</v>
      </c>
      <c r="V5">
        <v>8.0299999999999994</v>
      </c>
      <c r="W5">
        <v>8.0299999999999994</v>
      </c>
      <c r="X5" s="1">
        <v>45670</v>
      </c>
      <c r="Y5">
        <v>8.33</v>
      </c>
      <c r="Z5">
        <v>8.1999999999999993</v>
      </c>
    </row>
    <row r="6" spans="1:26" x14ac:dyDescent="0.3">
      <c r="A6" s="1">
        <v>45699</v>
      </c>
      <c r="B6">
        <v>8.01</v>
      </c>
      <c r="C6">
        <v>8.18</v>
      </c>
      <c r="D6">
        <v>7.91</v>
      </c>
      <c r="E6" s="1">
        <v>45699</v>
      </c>
      <c r="F6">
        <v>7.99</v>
      </c>
      <c r="G6">
        <v>7.98</v>
      </c>
      <c r="H6">
        <v>7.96</v>
      </c>
      <c r="I6" s="1">
        <v>45700</v>
      </c>
      <c r="J6">
        <v>7.81</v>
      </c>
      <c r="K6">
        <v>7.86</v>
      </c>
      <c r="L6">
        <v>7.94</v>
      </c>
      <c r="M6" s="1">
        <v>45700</v>
      </c>
      <c r="N6">
        <v>7.94</v>
      </c>
      <c r="O6">
        <v>8.08</v>
      </c>
      <c r="P6">
        <v>7.99</v>
      </c>
      <c r="Q6" s="1">
        <v>45700</v>
      </c>
      <c r="R6">
        <v>7.99</v>
      </c>
      <c r="S6">
        <v>7.93</v>
      </c>
      <c r="T6">
        <v>8.4</v>
      </c>
      <c r="U6" s="1">
        <v>45691</v>
      </c>
      <c r="V6">
        <v>7.71</v>
      </c>
      <c r="W6">
        <v>8.27</v>
      </c>
      <c r="X6" s="1">
        <v>45691</v>
      </c>
      <c r="Y6">
        <v>8.26</v>
      </c>
      <c r="Z6">
        <v>8.36</v>
      </c>
    </row>
    <row r="7" spans="1:26" x14ac:dyDescent="0.3">
      <c r="A7" s="1">
        <v>45734</v>
      </c>
      <c r="B7">
        <v>8.0399999999999991</v>
      </c>
      <c r="C7">
        <v>8.15</v>
      </c>
      <c r="D7">
        <v>7.88</v>
      </c>
      <c r="E7" s="1">
        <v>45734</v>
      </c>
      <c r="F7">
        <v>7.58</v>
      </c>
      <c r="G7">
        <v>8.02</v>
      </c>
      <c r="H7">
        <v>7.99</v>
      </c>
      <c r="I7" s="1">
        <v>45734</v>
      </c>
      <c r="J7">
        <v>7.94</v>
      </c>
      <c r="K7">
        <v>8.08</v>
      </c>
      <c r="L7">
        <v>8.0299999999999994</v>
      </c>
      <c r="M7" s="1">
        <v>45734</v>
      </c>
      <c r="N7">
        <v>7.79</v>
      </c>
      <c r="O7">
        <v>7.92</v>
      </c>
      <c r="P7">
        <v>7.79</v>
      </c>
      <c r="Q7" s="1">
        <v>45734</v>
      </c>
      <c r="R7">
        <v>8.15</v>
      </c>
      <c r="S7">
        <v>8.16</v>
      </c>
      <c r="T7">
        <v>8.25</v>
      </c>
      <c r="U7" s="1">
        <v>45719</v>
      </c>
      <c r="V7">
        <v>7.71</v>
      </c>
      <c r="W7">
        <v>8</v>
      </c>
      <c r="X7" s="1">
        <v>45719</v>
      </c>
      <c r="Y7">
        <v>8.5</v>
      </c>
      <c r="Z7">
        <v>8.5500000000000007</v>
      </c>
    </row>
    <row r="8" spans="1:26" x14ac:dyDescent="0.3">
      <c r="A8" s="1">
        <v>45755</v>
      </c>
      <c r="B8">
        <v>8.24</v>
      </c>
      <c r="C8">
        <v>8.1999999999999993</v>
      </c>
      <c r="D8">
        <v>8.18</v>
      </c>
      <c r="E8" s="1">
        <v>45755</v>
      </c>
      <c r="F8">
        <v>8.2899999999999991</v>
      </c>
      <c r="G8">
        <v>8.1999999999999993</v>
      </c>
      <c r="H8">
        <v>8.26</v>
      </c>
      <c r="I8" s="1">
        <v>45756</v>
      </c>
      <c r="J8">
        <v>7.81</v>
      </c>
      <c r="K8">
        <v>7.83</v>
      </c>
      <c r="L8">
        <v>7.84</v>
      </c>
      <c r="M8" s="1">
        <v>45756</v>
      </c>
      <c r="N8">
        <v>7.95</v>
      </c>
      <c r="O8">
        <v>8.1300000000000008</v>
      </c>
      <c r="P8">
        <v>7.91</v>
      </c>
      <c r="Q8" s="1">
        <v>45756</v>
      </c>
      <c r="R8">
        <v>8.07</v>
      </c>
      <c r="S8">
        <v>8</v>
      </c>
      <c r="T8">
        <v>7.93</v>
      </c>
      <c r="U8" s="1">
        <v>45762</v>
      </c>
      <c r="V8">
        <v>7.87</v>
      </c>
      <c r="W8">
        <v>8.19</v>
      </c>
      <c r="X8" s="1">
        <v>45762</v>
      </c>
      <c r="Y8">
        <v>8.36</v>
      </c>
      <c r="Z8">
        <v>8.4700000000000006</v>
      </c>
    </row>
    <row r="9" spans="1:26" x14ac:dyDescent="0.3">
      <c r="A9" s="1">
        <v>45783</v>
      </c>
      <c r="B9">
        <v>8.31</v>
      </c>
      <c r="C9">
        <v>8.27</v>
      </c>
      <c r="D9">
        <v>8.3000000000000007</v>
      </c>
      <c r="E9" s="1">
        <v>45783</v>
      </c>
      <c r="F9">
        <v>8.2899999999999991</v>
      </c>
      <c r="G9">
        <v>8.1300000000000008</v>
      </c>
      <c r="H9">
        <v>8.25</v>
      </c>
      <c r="I9" s="1">
        <v>45784</v>
      </c>
      <c r="J9">
        <v>7.7</v>
      </c>
      <c r="K9">
        <v>7.78</v>
      </c>
      <c r="L9">
        <v>7.88</v>
      </c>
      <c r="M9" s="1">
        <v>45784</v>
      </c>
      <c r="N9">
        <v>7.82</v>
      </c>
      <c r="O9">
        <v>7.99</v>
      </c>
      <c r="P9">
        <v>7.85</v>
      </c>
      <c r="Q9" s="1">
        <v>45784</v>
      </c>
      <c r="R9">
        <v>7.91</v>
      </c>
      <c r="S9">
        <v>7.9</v>
      </c>
      <c r="T9">
        <v>7.94</v>
      </c>
      <c r="U9" s="1">
        <v>45791</v>
      </c>
      <c r="V9">
        <v>8.19</v>
      </c>
      <c r="W9">
        <v>8.2799999999999994</v>
      </c>
      <c r="X9" s="1">
        <v>45791</v>
      </c>
      <c r="Y9">
        <v>9.0500000000000007</v>
      </c>
    </row>
    <row r="10" spans="1:26" x14ac:dyDescent="0.3">
      <c r="A10" s="1">
        <v>45818</v>
      </c>
      <c r="B10">
        <v>8.09</v>
      </c>
      <c r="C10">
        <v>8.0399999999999991</v>
      </c>
      <c r="D10">
        <v>8.0399999999999991</v>
      </c>
      <c r="E10" s="1">
        <v>45818</v>
      </c>
      <c r="F10">
        <v>8.31</v>
      </c>
      <c r="G10">
        <v>8.1999999999999993</v>
      </c>
      <c r="H10">
        <v>8.18</v>
      </c>
      <c r="I10" s="1">
        <v>45819</v>
      </c>
      <c r="J10">
        <v>7.8</v>
      </c>
      <c r="K10">
        <v>8.02</v>
      </c>
      <c r="L10">
        <v>7.89</v>
      </c>
      <c r="M10" s="1">
        <v>45819</v>
      </c>
      <c r="N10">
        <v>8.0500000000000007</v>
      </c>
      <c r="O10">
        <v>7.9</v>
      </c>
      <c r="P10">
        <v>8.18</v>
      </c>
      <c r="Q10" s="1">
        <v>45819</v>
      </c>
      <c r="R10">
        <v>7.9</v>
      </c>
      <c r="S10">
        <v>8.01</v>
      </c>
      <c r="T10">
        <v>7.99</v>
      </c>
      <c r="U10" s="1">
        <v>45825</v>
      </c>
      <c r="X10" s="1">
        <v>45825</v>
      </c>
    </row>
    <row r="11" spans="1:26" x14ac:dyDescent="0.3">
      <c r="A11" s="1">
        <v>45846</v>
      </c>
      <c r="E11" s="1">
        <v>45846</v>
      </c>
      <c r="I11" s="1">
        <v>45847</v>
      </c>
      <c r="M11" s="1">
        <v>45847</v>
      </c>
      <c r="Q11" s="1">
        <v>45847</v>
      </c>
      <c r="U11" s="1">
        <v>45862</v>
      </c>
      <c r="X11" s="1">
        <v>45862</v>
      </c>
    </row>
    <row r="12" spans="1:26" x14ac:dyDescent="0.3">
      <c r="A12" s="1">
        <v>45874</v>
      </c>
      <c r="E12" s="1">
        <v>45874</v>
      </c>
      <c r="I12" s="1">
        <v>45875</v>
      </c>
      <c r="M12" s="1">
        <v>45875</v>
      </c>
      <c r="Q12" s="1">
        <v>45875</v>
      </c>
      <c r="U12" s="1">
        <v>45890</v>
      </c>
      <c r="X12" s="1">
        <v>45890</v>
      </c>
    </row>
    <row r="13" spans="1:26" x14ac:dyDescent="0.3">
      <c r="A13" s="1">
        <v>45903</v>
      </c>
      <c r="B13">
        <v>8.0399999999999991</v>
      </c>
      <c r="C13">
        <v>8.1</v>
      </c>
      <c r="D13">
        <v>7.9</v>
      </c>
      <c r="E13" s="1">
        <v>45904</v>
      </c>
      <c r="F13">
        <v>7.94</v>
      </c>
      <c r="G13">
        <v>7.89</v>
      </c>
      <c r="H13">
        <v>7.9</v>
      </c>
      <c r="I13" s="1">
        <v>45903</v>
      </c>
      <c r="J13">
        <v>8.0299999999999994</v>
      </c>
      <c r="K13">
        <v>7.98</v>
      </c>
      <c r="L13">
        <v>7.92</v>
      </c>
      <c r="M13" s="1">
        <v>45903</v>
      </c>
      <c r="N13">
        <v>7.73</v>
      </c>
      <c r="O13">
        <v>7.86</v>
      </c>
      <c r="P13">
        <v>7.84</v>
      </c>
      <c r="Q13" s="1">
        <v>45903</v>
      </c>
      <c r="R13">
        <v>7.99</v>
      </c>
      <c r="S13">
        <v>8.01</v>
      </c>
      <c r="T13">
        <v>7.75</v>
      </c>
      <c r="U13" s="1">
        <v>45916</v>
      </c>
      <c r="V13">
        <v>8.08</v>
      </c>
      <c r="W13">
        <v>7.89</v>
      </c>
      <c r="X13" s="1">
        <v>45916</v>
      </c>
      <c r="Y13">
        <v>8</v>
      </c>
      <c r="Z13">
        <v>7.94</v>
      </c>
    </row>
    <row r="18" spans="1:8" x14ac:dyDescent="0.3">
      <c r="A18" t="s">
        <v>58</v>
      </c>
      <c r="B18" t="s">
        <v>59</v>
      </c>
      <c r="C18" t="s">
        <v>60</v>
      </c>
      <c r="D18" t="s">
        <v>30</v>
      </c>
      <c r="E18" t="s">
        <v>31</v>
      </c>
      <c r="F18" t="s">
        <v>61</v>
      </c>
      <c r="G18" t="s">
        <v>62</v>
      </c>
      <c r="H18" t="s">
        <v>63</v>
      </c>
    </row>
    <row r="19" spans="1:8" x14ac:dyDescent="0.3">
      <c r="A19" t="s">
        <v>2</v>
      </c>
      <c r="B19">
        <v>7.71</v>
      </c>
      <c r="C19">
        <v>7.94</v>
      </c>
      <c r="D19">
        <v>7.77</v>
      </c>
      <c r="E19">
        <v>7.58</v>
      </c>
      <c r="F19">
        <v>7.67</v>
      </c>
      <c r="G19">
        <v>7.65</v>
      </c>
      <c r="H19">
        <v>7.7</v>
      </c>
    </row>
    <row r="20" spans="1:8" x14ac:dyDescent="0.3">
      <c r="A20" t="s">
        <v>3</v>
      </c>
      <c r="B20">
        <v>8.2799999999999994</v>
      </c>
      <c r="C20">
        <v>9.0500000000000007</v>
      </c>
      <c r="D20">
        <v>8.31</v>
      </c>
      <c r="E20">
        <v>8.31</v>
      </c>
      <c r="F20">
        <v>8.14</v>
      </c>
      <c r="G20">
        <v>8.18</v>
      </c>
      <c r="H20">
        <v>8.4</v>
      </c>
    </row>
    <row r="21" spans="1:8" x14ac:dyDescent="0.3">
      <c r="A21" t="s">
        <v>4</v>
      </c>
      <c r="B21">
        <v>8.01</v>
      </c>
      <c r="C21">
        <v>8.32</v>
      </c>
      <c r="D21">
        <v>8.0500000000000007</v>
      </c>
      <c r="E21">
        <v>8.01</v>
      </c>
      <c r="F21">
        <v>7.9</v>
      </c>
      <c r="G21">
        <v>7.92</v>
      </c>
      <c r="H21">
        <v>8.02</v>
      </c>
    </row>
    <row r="23" spans="1:8" x14ac:dyDescent="0.3">
      <c r="A23" t="s">
        <v>58</v>
      </c>
      <c r="B23" t="s">
        <v>29</v>
      </c>
      <c r="C23" t="s">
        <v>28</v>
      </c>
      <c r="D23" t="s">
        <v>5</v>
      </c>
    </row>
    <row r="24" spans="1:8" x14ac:dyDescent="0.3">
      <c r="A24" t="s">
        <v>2</v>
      </c>
      <c r="B24">
        <v>7.71</v>
      </c>
      <c r="C24">
        <v>7.58</v>
      </c>
      <c r="D24">
        <v>7.65</v>
      </c>
    </row>
    <row r="25" spans="1:8" x14ac:dyDescent="0.3">
      <c r="A25" t="s">
        <v>3</v>
      </c>
      <c r="B25">
        <v>9.0500000000000007</v>
      </c>
      <c r="C25">
        <v>8.31</v>
      </c>
      <c r="D25">
        <v>8.4</v>
      </c>
    </row>
    <row r="26" spans="1:8" x14ac:dyDescent="0.3">
      <c r="A26" t="s">
        <v>4</v>
      </c>
      <c r="B26">
        <v>8.16</v>
      </c>
      <c r="C26">
        <v>8.0299999999999994</v>
      </c>
      <c r="D26">
        <v>7.95</v>
      </c>
    </row>
  </sheetData>
  <pageMargins left="0.7" right="0.7" top="0.75" bottom="0.75" header="0.3" footer="0.3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6"/>
  <sheetViews>
    <sheetView workbookViewId="0">
      <selection activeCell="H21" sqref="H21"/>
    </sheetView>
  </sheetViews>
  <sheetFormatPr defaultColWidth="11.44140625" defaultRowHeight="14.4" x14ac:dyDescent="0.3"/>
  <sheetData>
    <row r="1" spans="1:26" x14ac:dyDescent="0.3">
      <c r="A1" t="s">
        <v>64</v>
      </c>
      <c r="B1" t="s">
        <v>65</v>
      </c>
      <c r="C1" t="s">
        <v>66</v>
      </c>
      <c r="D1" t="s">
        <v>67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  <c r="M1" t="s">
        <v>76</v>
      </c>
      <c r="N1" t="s">
        <v>77</v>
      </c>
      <c r="O1" t="s">
        <v>78</v>
      </c>
      <c r="P1" t="s">
        <v>79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85</v>
      </c>
      <c r="W1" t="s">
        <v>86</v>
      </c>
      <c r="X1" t="s">
        <v>87</v>
      </c>
      <c r="Y1" t="s">
        <v>88</v>
      </c>
      <c r="Z1" t="s">
        <v>89</v>
      </c>
    </row>
    <row r="2" spans="1:26" x14ac:dyDescent="0.3">
      <c r="A2" s="1">
        <v>45567</v>
      </c>
      <c r="B2">
        <v>100</v>
      </c>
      <c r="C2">
        <v>100</v>
      </c>
      <c r="D2">
        <v>100</v>
      </c>
      <c r="E2" s="1">
        <v>45567</v>
      </c>
      <c r="F2">
        <v>100</v>
      </c>
      <c r="G2">
        <v>100</v>
      </c>
      <c r="H2">
        <v>100</v>
      </c>
      <c r="I2" s="1">
        <v>45568</v>
      </c>
      <c r="J2">
        <v>73.680000000000007</v>
      </c>
      <c r="K2">
        <v>62.5</v>
      </c>
      <c r="L2">
        <v>72.22</v>
      </c>
      <c r="M2" s="1">
        <v>45568</v>
      </c>
      <c r="N2">
        <v>46.15</v>
      </c>
      <c r="O2">
        <v>70</v>
      </c>
      <c r="P2">
        <v>64.709999999999994</v>
      </c>
      <c r="Q2" s="1">
        <v>45568</v>
      </c>
      <c r="R2">
        <v>50</v>
      </c>
      <c r="S2">
        <v>45</v>
      </c>
      <c r="T2">
        <v>50</v>
      </c>
      <c r="U2" s="1">
        <v>45588</v>
      </c>
      <c r="V2">
        <v>66.67</v>
      </c>
      <c r="W2">
        <v>100</v>
      </c>
      <c r="X2" s="1">
        <v>45588</v>
      </c>
      <c r="Y2">
        <v>100</v>
      </c>
      <c r="Z2">
        <v>100</v>
      </c>
    </row>
    <row r="3" spans="1:26" x14ac:dyDescent="0.3">
      <c r="A3" s="1">
        <v>45601</v>
      </c>
      <c r="B3">
        <v>100</v>
      </c>
      <c r="C3">
        <v>100</v>
      </c>
      <c r="D3">
        <v>100</v>
      </c>
      <c r="E3" s="1">
        <v>45601</v>
      </c>
      <c r="F3">
        <v>100</v>
      </c>
      <c r="G3">
        <v>100</v>
      </c>
      <c r="H3">
        <v>100</v>
      </c>
      <c r="I3" s="1">
        <v>45602</v>
      </c>
      <c r="J3">
        <v>100</v>
      </c>
      <c r="K3">
        <v>100</v>
      </c>
      <c r="L3">
        <v>68.75</v>
      </c>
      <c r="M3" s="1">
        <v>45602</v>
      </c>
      <c r="N3">
        <v>60.87</v>
      </c>
      <c r="O3">
        <v>60</v>
      </c>
      <c r="P3">
        <v>62.5</v>
      </c>
      <c r="Q3" s="1">
        <v>45602</v>
      </c>
      <c r="R3">
        <v>50</v>
      </c>
      <c r="S3">
        <v>36.36</v>
      </c>
      <c r="T3">
        <v>44.44</v>
      </c>
      <c r="U3" s="1">
        <v>45609</v>
      </c>
      <c r="V3">
        <v>100</v>
      </c>
      <c r="W3">
        <v>100</v>
      </c>
      <c r="X3" s="1">
        <v>45609</v>
      </c>
      <c r="Y3">
        <v>90.91</v>
      </c>
      <c r="Z3">
        <v>100</v>
      </c>
    </row>
    <row r="4" spans="1:26" x14ac:dyDescent="0.3">
      <c r="A4" s="1">
        <v>45630</v>
      </c>
      <c r="B4">
        <v>100</v>
      </c>
      <c r="C4">
        <v>100</v>
      </c>
      <c r="D4">
        <v>100</v>
      </c>
      <c r="E4" s="1">
        <v>45630</v>
      </c>
      <c r="F4">
        <v>100</v>
      </c>
      <c r="G4">
        <v>100</v>
      </c>
      <c r="H4">
        <v>100</v>
      </c>
      <c r="I4" s="1">
        <v>45631</v>
      </c>
      <c r="J4">
        <v>100</v>
      </c>
      <c r="K4">
        <v>100</v>
      </c>
      <c r="L4">
        <v>100</v>
      </c>
      <c r="M4" s="1">
        <v>45631</v>
      </c>
      <c r="N4">
        <v>100</v>
      </c>
      <c r="O4">
        <v>100</v>
      </c>
      <c r="P4">
        <v>100</v>
      </c>
      <c r="Q4" s="1">
        <v>45631</v>
      </c>
      <c r="R4">
        <v>100</v>
      </c>
      <c r="S4">
        <v>100</v>
      </c>
      <c r="T4">
        <v>100</v>
      </c>
      <c r="U4" s="1">
        <v>45636</v>
      </c>
      <c r="V4">
        <v>100</v>
      </c>
      <c r="W4">
        <v>100</v>
      </c>
      <c r="X4" s="1">
        <v>45636</v>
      </c>
      <c r="Y4">
        <v>100</v>
      </c>
      <c r="Z4">
        <v>100</v>
      </c>
    </row>
    <row r="5" spans="1:26" x14ac:dyDescent="0.3">
      <c r="A5" s="1">
        <v>45663</v>
      </c>
      <c r="B5">
        <v>100</v>
      </c>
      <c r="C5">
        <v>100</v>
      </c>
      <c r="D5">
        <v>100</v>
      </c>
      <c r="E5" s="1">
        <v>45663</v>
      </c>
      <c r="F5">
        <v>100</v>
      </c>
      <c r="G5">
        <v>100</v>
      </c>
      <c r="H5">
        <v>100</v>
      </c>
      <c r="I5" s="1">
        <v>45664</v>
      </c>
      <c r="J5">
        <v>100</v>
      </c>
      <c r="K5">
        <v>100</v>
      </c>
      <c r="L5">
        <v>100</v>
      </c>
      <c r="M5" s="1">
        <v>45664</v>
      </c>
      <c r="N5">
        <v>100</v>
      </c>
      <c r="O5">
        <v>100</v>
      </c>
      <c r="P5">
        <v>100</v>
      </c>
      <c r="Q5" s="1">
        <v>45664</v>
      </c>
      <c r="R5">
        <v>50</v>
      </c>
      <c r="S5">
        <v>46.15</v>
      </c>
      <c r="T5">
        <v>50</v>
      </c>
      <c r="U5" s="1">
        <v>45670</v>
      </c>
      <c r="V5">
        <v>100</v>
      </c>
      <c r="W5">
        <v>100</v>
      </c>
      <c r="X5" s="1">
        <v>45670</v>
      </c>
      <c r="Y5">
        <v>100</v>
      </c>
      <c r="Z5">
        <v>100</v>
      </c>
    </row>
    <row r="6" spans="1:26" x14ac:dyDescent="0.3">
      <c r="A6" s="1">
        <v>45699</v>
      </c>
      <c r="B6">
        <v>100</v>
      </c>
      <c r="C6">
        <v>100</v>
      </c>
      <c r="D6">
        <v>87.5</v>
      </c>
      <c r="E6" s="1">
        <v>45699</v>
      </c>
      <c r="F6">
        <v>100</v>
      </c>
      <c r="G6">
        <v>100</v>
      </c>
      <c r="H6">
        <v>100</v>
      </c>
      <c r="I6" s="1">
        <v>45700</v>
      </c>
      <c r="J6">
        <v>100</v>
      </c>
      <c r="K6">
        <v>100</v>
      </c>
      <c r="L6">
        <v>100</v>
      </c>
      <c r="M6" s="1">
        <v>45700</v>
      </c>
      <c r="N6">
        <v>100</v>
      </c>
      <c r="O6">
        <v>100</v>
      </c>
      <c r="P6">
        <v>33.33</v>
      </c>
      <c r="Q6" s="1">
        <v>45700</v>
      </c>
      <c r="R6">
        <v>83.33</v>
      </c>
      <c r="S6">
        <v>85.71</v>
      </c>
      <c r="T6">
        <v>100</v>
      </c>
      <c r="U6" s="1">
        <v>45691</v>
      </c>
      <c r="V6">
        <v>100</v>
      </c>
      <c r="W6">
        <v>100</v>
      </c>
      <c r="X6" s="1">
        <v>45691</v>
      </c>
      <c r="Y6">
        <v>100</v>
      </c>
      <c r="Z6">
        <v>100</v>
      </c>
    </row>
    <row r="7" spans="1:26" x14ac:dyDescent="0.3">
      <c r="A7" s="1">
        <v>45734</v>
      </c>
      <c r="B7">
        <v>100</v>
      </c>
      <c r="C7">
        <v>100</v>
      </c>
      <c r="D7">
        <v>100</v>
      </c>
      <c r="E7" s="1">
        <v>45734</v>
      </c>
      <c r="F7">
        <v>100</v>
      </c>
      <c r="G7">
        <v>100</v>
      </c>
      <c r="H7">
        <v>100</v>
      </c>
      <c r="I7" s="1">
        <v>45734</v>
      </c>
      <c r="J7">
        <v>100</v>
      </c>
      <c r="K7">
        <v>100</v>
      </c>
      <c r="L7">
        <v>100</v>
      </c>
      <c r="M7" s="1">
        <v>45734</v>
      </c>
      <c r="N7">
        <v>100</v>
      </c>
      <c r="O7">
        <v>100</v>
      </c>
      <c r="P7">
        <v>100</v>
      </c>
      <c r="Q7" s="1">
        <v>45734</v>
      </c>
      <c r="R7">
        <v>42.86</v>
      </c>
      <c r="S7">
        <v>18.75</v>
      </c>
      <c r="T7">
        <v>16.670000000000002</v>
      </c>
      <c r="U7" s="1">
        <v>45719</v>
      </c>
      <c r="V7">
        <v>100</v>
      </c>
      <c r="W7">
        <v>100</v>
      </c>
      <c r="X7" s="1">
        <v>45719</v>
      </c>
      <c r="Y7">
        <v>100</v>
      </c>
      <c r="Z7">
        <v>100</v>
      </c>
    </row>
    <row r="8" spans="1:26" x14ac:dyDescent="0.3">
      <c r="A8" s="1">
        <v>45755</v>
      </c>
      <c r="B8">
        <v>100</v>
      </c>
      <c r="C8">
        <v>100</v>
      </c>
      <c r="D8">
        <v>100</v>
      </c>
      <c r="E8" s="1">
        <v>45755</v>
      </c>
      <c r="F8">
        <v>100</v>
      </c>
      <c r="G8">
        <v>100</v>
      </c>
      <c r="H8">
        <v>100</v>
      </c>
      <c r="I8" s="1">
        <v>45756</v>
      </c>
      <c r="J8">
        <v>100</v>
      </c>
      <c r="K8">
        <v>100</v>
      </c>
      <c r="L8">
        <v>100</v>
      </c>
      <c r="M8" s="1">
        <v>45756</v>
      </c>
      <c r="N8">
        <v>70</v>
      </c>
      <c r="O8">
        <v>100</v>
      </c>
      <c r="P8">
        <v>100</v>
      </c>
      <c r="Q8" s="1">
        <v>45756</v>
      </c>
      <c r="R8">
        <v>100</v>
      </c>
      <c r="S8">
        <v>72.22</v>
      </c>
      <c r="T8">
        <v>50</v>
      </c>
      <c r="U8" s="1">
        <v>45762</v>
      </c>
      <c r="V8">
        <v>100</v>
      </c>
      <c r="W8">
        <v>100</v>
      </c>
      <c r="X8" s="1">
        <v>45762</v>
      </c>
      <c r="Y8">
        <v>100</v>
      </c>
      <c r="Z8">
        <v>87.32</v>
      </c>
    </row>
    <row r="9" spans="1:26" x14ac:dyDescent="0.3">
      <c r="A9" s="1">
        <v>45783</v>
      </c>
      <c r="B9">
        <v>100</v>
      </c>
      <c r="C9">
        <v>100</v>
      </c>
      <c r="D9">
        <v>100</v>
      </c>
      <c r="E9" s="1">
        <v>45783</v>
      </c>
      <c r="F9">
        <v>100</v>
      </c>
      <c r="G9">
        <v>75</v>
      </c>
      <c r="H9">
        <v>80</v>
      </c>
      <c r="I9" s="1">
        <v>45784</v>
      </c>
      <c r="J9">
        <v>100</v>
      </c>
      <c r="K9">
        <v>100</v>
      </c>
      <c r="L9">
        <v>100</v>
      </c>
      <c r="M9" s="1">
        <v>45784</v>
      </c>
      <c r="N9">
        <v>100</v>
      </c>
      <c r="O9">
        <v>100</v>
      </c>
      <c r="P9">
        <v>100</v>
      </c>
      <c r="Q9" s="1">
        <v>45784</v>
      </c>
      <c r="R9">
        <v>100</v>
      </c>
      <c r="S9">
        <v>100</v>
      </c>
      <c r="T9">
        <v>100</v>
      </c>
      <c r="U9" s="1">
        <v>45791</v>
      </c>
      <c r="V9">
        <v>100</v>
      </c>
      <c r="W9">
        <v>100</v>
      </c>
      <c r="X9" s="1">
        <v>45791</v>
      </c>
      <c r="Y9">
        <v>100</v>
      </c>
      <c r="Z9">
        <v>100</v>
      </c>
    </row>
    <row r="10" spans="1:26" x14ac:dyDescent="0.3">
      <c r="A10" s="1">
        <v>45818</v>
      </c>
      <c r="B10">
        <v>100</v>
      </c>
      <c r="C10">
        <v>100</v>
      </c>
      <c r="D10">
        <v>100</v>
      </c>
      <c r="E10" s="1">
        <v>45818</v>
      </c>
      <c r="F10">
        <v>100</v>
      </c>
      <c r="G10">
        <v>100</v>
      </c>
      <c r="H10">
        <v>100</v>
      </c>
      <c r="I10" s="1">
        <v>45819</v>
      </c>
      <c r="J10">
        <v>100</v>
      </c>
      <c r="K10">
        <v>100</v>
      </c>
      <c r="L10">
        <v>100</v>
      </c>
      <c r="M10" s="1">
        <v>45819</v>
      </c>
      <c r="N10">
        <v>100</v>
      </c>
      <c r="O10">
        <v>100</v>
      </c>
      <c r="P10">
        <v>100</v>
      </c>
      <c r="Q10" s="1">
        <v>45819</v>
      </c>
      <c r="R10">
        <v>72.73</v>
      </c>
      <c r="S10">
        <v>100</v>
      </c>
      <c r="T10">
        <v>60</v>
      </c>
      <c r="U10" s="1">
        <v>45825</v>
      </c>
      <c r="V10">
        <v>100</v>
      </c>
      <c r="W10">
        <v>100</v>
      </c>
      <c r="X10" s="1">
        <v>45825</v>
      </c>
      <c r="Y10">
        <v>100</v>
      </c>
      <c r="Z10">
        <v>100</v>
      </c>
    </row>
    <row r="11" spans="1:26" x14ac:dyDescent="0.3">
      <c r="A11" s="1">
        <v>45846</v>
      </c>
      <c r="B11">
        <v>100</v>
      </c>
      <c r="C11">
        <v>100</v>
      </c>
      <c r="D11">
        <v>100</v>
      </c>
      <c r="E11" s="1">
        <v>45846</v>
      </c>
      <c r="F11">
        <v>100</v>
      </c>
      <c r="G11">
        <v>100</v>
      </c>
      <c r="H11">
        <v>83.33</v>
      </c>
      <c r="I11" s="1">
        <v>45847</v>
      </c>
      <c r="J11">
        <v>100</v>
      </c>
      <c r="K11">
        <v>70</v>
      </c>
      <c r="L11">
        <v>100</v>
      </c>
      <c r="M11" s="1">
        <v>45847</v>
      </c>
      <c r="N11">
        <v>100</v>
      </c>
      <c r="O11">
        <v>100</v>
      </c>
      <c r="P11">
        <v>100</v>
      </c>
      <c r="Q11" s="1">
        <v>45847</v>
      </c>
      <c r="R11">
        <v>100</v>
      </c>
      <c r="S11">
        <v>100</v>
      </c>
      <c r="T11">
        <v>100</v>
      </c>
      <c r="U11" s="1">
        <v>45862</v>
      </c>
      <c r="V11">
        <v>100</v>
      </c>
      <c r="W11">
        <v>100</v>
      </c>
      <c r="X11" s="1">
        <v>45862</v>
      </c>
      <c r="Y11">
        <v>100</v>
      </c>
      <c r="Z11">
        <v>100</v>
      </c>
    </row>
    <row r="12" spans="1:26" x14ac:dyDescent="0.3">
      <c r="A12" s="1">
        <v>45874</v>
      </c>
      <c r="B12">
        <v>100</v>
      </c>
      <c r="C12">
        <v>100</v>
      </c>
      <c r="D12">
        <v>100</v>
      </c>
      <c r="E12" s="1">
        <v>45874</v>
      </c>
      <c r="F12">
        <v>100</v>
      </c>
      <c r="G12">
        <v>100</v>
      </c>
      <c r="H12">
        <v>100</v>
      </c>
      <c r="I12" s="1">
        <v>45875</v>
      </c>
      <c r="J12">
        <v>100</v>
      </c>
      <c r="K12">
        <v>100</v>
      </c>
      <c r="L12">
        <v>100</v>
      </c>
      <c r="M12" s="1">
        <v>45875</v>
      </c>
      <c r="N12">
        <v>100</v>
      </c>
      <c r="O12">
        <v>100</v>
      </c>
      <c r="P12">
        <v>100</v>
      </c>
      <c r="Q12" s="1">
        <v>45875</v>
      </c>
      <c r="R12">
        <v>100</v>
      </c>
      <c r="S12">
        <v>100</v>
      </c>
      <c r="T12">
        <v>100</v>
      </c>
      <c r="U12" s="1">
        <v>45890</v>
      </c>
      <c r="V12">
        <v>100</v>
      </c>
      <c r="W12">
        <v>100</v>
      </c>
      <c r="X12" s="1">
        <v>45890</v>
      </c>
      <c r="Y12">
        <v>100</v>
      </c>
      <c r="Z12">
        <v>100</v>
      </c>
    </row>
    <row r="13" spans="1:26" x14ac:dyDescent="0.3">
      <c r="A13" s="1">
        <v>45903</v>
      </c>
      <c r="B13">
        <v>64.290000000000006</v>
      </c>
      <c r="C13">
        <v>66.67</v>
      </c>
      <c r="D13">
        <v>81.819999999999993</v>
      </c>
      <c r="E13" s="1">
        <v>45904</v>
      </c>
      <c r="F13">
        <v>100</v>
      </c>
      <c r="G13">
        <v>85.71</v>
      </c>
      <c r="H13">
        <v>100</v>
      </c>
      <c r="I13" s="1">
        <v>45903</v>
      </c>
      <c r="J13">
        <v>100</v>
      </c>
      <c r="K13">
        <v>100</v>
      </c>
      <c r="L13">
        <v>72.22</v>
      </c>
      <c r="M13" s="1">
        <v>45903</v>
      </c>
      <c r="N13">
        <v>86.36</v>
      </c>
      <c r="O13">
        <v>100</v>
      </c>
      <c r="P13">
        <v>100</v>
      </c>
      <c r="Q13" s="1">
        <v>45903</v>
      </c>
      <c r="R13">
        <v>100</v>
      </c>
      <c r="S13">
        <v>64.290000000000006</v>
      </c>
      <c r="T13">
        <v>57.14</v>
      </c>
      <c r="U13" s="1">
        <v>45916</v>
      </c>
      <c r="V13">
        <v>100</v>
      </c>
      <c r="W13">
        <v>100</v>
      </c>
      <c r="X13" s="1">
        <v>45916</v>
      </c>
      <c r="Y13">
        <v>100</v>
      </c>
      <c r="Z13">
        <v>100</v>
      </c>
    </row>
    <row r="18" spans="1:8" x14ac:dyDescent="0.3">
      <c r="A18" t="s">
        <v>58</v>
      </c>
      <c r="B18" t="s">
        <v>59</v>
      </c>
      <c r="C18" t="s">
        <v>60</v>
      </c>
      <c r="D18" t="s">
        <v>30</v>
      </c>
      <c r="E18" t="s">
        <v>31</v>
      </c>
      <c r="F18" t="s">
        <v>61</v>
      </c>
      <c r="G18" t="s">
        <v>62</v>
      </c>
      <c r="H18" t="s">
        <v>63</v>
      </c>
    </row>
    <row r="19" spans="1:8" x14ac:dyDescent="0.3">
      <c r="A19" t="s">
        <v>2</v>
      </c>
      <c r="B19">
        <v>66.67</v>
      </c>
      <c r="C19">
        <v>87.32</v>
      </c>
      <c r="D19">
        <v>64.290000000000006</v>
      </c>
      <c r="E19">
        <v>75</v>
      </c>
      <c r="F19">
        <v>62.5</v>
      </c>
      <c r="G19">
        <v>33.33</v>
      </c>
      <c r="H19">
        <v>16.670000000000002</v>
      </c>
    </row>
    <row r="20" spans="1:8" x14ac:dyDescent="0.3">
      <c r="A20" t="s">
        <v>3</v>
      </c>
      <c r="B20">
        <v>100</v>
      </c>
      <c r="C20">
        <v>100</v>
      </c>
      <c r="D20">
        <v>100</v>
      </c>
      <c r="E20">
        <v>100</v>
      </c>
      <c r="F20">
        <v>100</v>
      </c>
      <c r="G20">
        <v>100</v>
      </c>
      <c r="H20">
        <v>100</v>
      </c>
    </row>
    <row r="21" spans="1:8" x14ac:dyDescent="0.3">
      <c r="A21" t="s">
        <v>4</v>
      </c>
      <c r="B21">
        <v>98.61</v>
      </c>
      <c r="C21">
        <v>99.09</v>
      </c>
      <c r="D21">
        <v>97.23</v>
      </c>
      <c r="E21">
        <v>97.89</v>
      </c>
      <c r="F21">
        <v>94.98</v>
      </c>
      <c r="G21">
        <v>90.39</v>
      </c>
      <c r="H21">
        <v>73.489999999999995</v>
      </c>
    </row>
    <row r="23" spans="1:8" x14ac:dyDescent="0.3">
      <c r="A23" t="s">
        <v>58</v>
      </c>
      <c r="B23" t="s">
        <v>29</v>
      </c>
      <c r="C23" t="s">
        <v>28</v>
      </c>
      <c r="D23" t="s">
        <v>5</v>
      </c>
    </row>
    <row r="24" spans="1:8" x14ac:dyDescent="0.3">
      <c r="A24" t="s">
        <v>2</v>
      </c>
      <c r="B24">
        <v>66.67</v>
      </c>
      <c r="C24">
        <v>64.290000000000006</v>
      </c>
      <c r="D24">
        <v>16.670000000000002</v>
      </c>
    </row>
    <row r="25" spans="1:8" x14ac:dyDescent="0.3">
      <c r="A25" t="s">
        <v>3</v>
      </c>
      <c r="B25">
        <v>100</v>
      </c>
      <c r="C25">
        <v>100</v>
      </c>
      <c r="D25">
        <v>100</v>
      </c>
    </row>
    <row r="26" spans="1:8" x14ac:dyDescent="0.3">
      <c r="A26" t="s">
        <v>4</v>
      </c>
      <c r="B26">
        <v>98.85</v>
      </c>
      <c r="C26">
        <v>97.56</v>
      </c>
      <c r="D26">
        <v>86.29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Live</vt:lpstr>
      <vt:lpstr>Dead Ratio</vt:lpstr>
      <vt:lpstr>Density_data</vt:lpstr>
      <vt:lpstr>SH</vt:lpstr>
      <vt:lpstr>SH_data</vt:lpstr>
      <vt:lpstr>DermoPrev</vt:lpstr>
      <vt:lpstr>DermoInt</vt:lpstr>
      <vt:lpstr>Dermo_data</vt:lpstr>
      <vt:lpstr>Rcrt</vt:lpstr>
      <vt:lpstr>Rcrt_data</vt:lpstr>
      <vt:lpstr>Repro_data</vt:lpstr>
      <vt:lpstr>Cage_data</vt:lpstr>
      <vt:lpstr>Salinity</vt:lpstr>
      <vt:lpstr>Salinity_data</vt:lpstr>
      <vt:lpstr>Flow</vt:lpstr>
      <vt:lpstr>Flow_data</vt:lpstr>
      <vt:lpstr>Temp_data</vt:lpstr>
      <vt:lpstr>DO_data</vt:lpstr>
      <vt:lpstr>pH_data</vt:lpstr>
      <vt:lpstr>Secchi_data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Erica.Williams</dc:creator>
  <cp:lastModifiedBy>Williams, Erica</cp:lastModifiedBy>
  <dcterms:created xsi:type="dcterms:W3CDTF">2026-04-06T15:25:11Z</dcterms:created>
  <dcterms:modified xsi:type="dcterms:W3CDTF">2026-04-09T19:33:51Z</dcterms:modified>
</cp:coreProperties>
</file>